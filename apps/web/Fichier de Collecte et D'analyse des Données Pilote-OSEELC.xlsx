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D47431CB-C7A6-4F55-AD5B-327CC3179F44}" xr6:coauthVersionLast="47" xr6:coauthVersionMax="47" xr10:uidLastSave="{00000000-0000-0000-0000-000000000000}"/>
  <bookViews>
    <workbookView xWindow="-120" yWindow="-120" windowWidth="29040" windowHeight="15840" firstSheet="12" activeTab="14" xr2:uid="{00000000-000D-0000-FFFF-FFFF00000000}"/>
  </bookViews>
  <sheets>
    <sheet name="Sommaire" sheetId="1" r:id="rId1"/>
    <sheet name="Consultations" sheetId="2" r:id="rId2"/>
    <sheet name="Hospitalisations" sheetId="3" r:id="rId3"/>
    <sheet name="Bloc opératoire" sheetId="4" r:id="rId4"/>
    <sheet name="Services spécialisés" sheetId="5" r:id="rId5"/>
    <sheet name="Imagerie médicale" sheetId="6" r:id="rId6"/>
    <sheet name="Laboratoire" sheetId="7" r:id="rId7"/>
    <sheet name="Programmes de santé" sheetId="8" r:id="rId8"/>
    <sheet name="Maladies notifiables" sheetId="9" r:id="rId9"/>
    <sheet name="Morbidité &amp; mortalité" sheetId="10" r:id="rId10"/>
    <sheet name="Ressources humaines" sheetId="11" r:id="rId11"/>
    <sheet name="Activités sociales" sheetId="12" r:id="rId12"/>
    <sheet name="Évolution mensuelle" sheetId="13" r:id="rId13"/>
    <sheet name="Tableaux de synthèse" sheetId="14" r:id="rId14"/>
    <sheet name="Dashboard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3" l="1"/>
  <c r="J6" i="14" s="1"/>
  <c r="F4" i="3"/>
  <c r="J7" i="14" s="1"/>
  <c r="F5" i="3"/>
  <c r="J8" i="14" s="1"/>
  <c r="F6" i="3"/>
  <c r="J9" i="14" s="1"/>
  <c r="F2" i="3"/>
  <c r="J5" i="14" s="1"/>
  <c r="G33" i="14"/>
  <c r="F33" i="14"/>
  <c r="E33" i="14"/>
  <c r="D33" i="14"/>
  <c r="C33" i="14"/>
  <c r="B33" i="14"/>
  <c r="G32" i="14"/>
  <c r="F32" i="14"/>
  <c r="E32" i="14"/>
  <c r="D32" i="14"/>
  <c r="C32" i="14"/>
  <c r="B32" i="14"/>
  <c r="G31" i="14"/>
  <c r="F31" i="14"/>
  <c r="E31" i="14"/>
  <c r="D31" i="14"/>
  <c r="C31" i="14"/>
  <c r="B31" i="14"/>
  <c r="G30" i="14"/>
  <c r="F30" i="14"/>
  <c r="E30" i="14"/>
  <c r="D30" i="14"/>
  <c r="C30" i="14"/>
  <c r="B30" i="14"/>
  <c r="G29" i="14"/>
  <c r="F29" i="14"/>
  <c r="E29" i="14"/>
  <c r="D29" i="14"/>
  <c r="C29" i="14"/>
  <c r="B29" i="14"/>
  <c r="G28" i="14"/>
  <c r="F28" i="14"/>
  <c r="E28" i="14"/>
  <c r="D28" i="14"/>
  <c r="C28" i="14"/>
  <c r="B28" i="14"/>
  <c r="G27" i="14"/>
  <c r="F27" i="14"/>
  <c r="E27" i="14"/>
  <c r="D27" i="14"/>
  <c r="C27" i="14"/>
  <c r="B27" i="14"/>
  <c r="G26" i="14"/>
  <c r="F26" i="14"/>
  <c r="E26" i="14"/>
  <c r="D26" i="14"/>
  <c r="C26" i="14"/>
  <c r="B26" i="14"/>
  <c r="G25" i="14"/>
  <c r="F25" i="14"/>
  <c r="E25" i="14"/>
  <c r="D25" i="14"/>
  <c r="C25" i="14"/>
  <c r="B25" i="14"/>
  <c r="G24" i="14"/>
  <c r="F24" i="14"/>
  <c r="E24" i="14"/>
  <c r="D24" i="14"/>
  <c r="C24" i="14"/>
  <c r="B24" i="14"/>
  <c r="G23" i="14"/>
  <c r="F23" i="14"/>
  <c r="E23" i="14"/>
  <c r="D23" i="14"/>
  <c r="C23" i="14"/>
  <c r="B23" i="14"/>
  <c r="G22" i="14"/>
  <c r="F22" i="14"/>
  <c r="E22" i="14"/>
  <c r="D22" i="14"/>
  <c r="C22" i="14"/>
  <c r="B22" i="14"/>
  <c r="V16" i="14"/>
  <c r="M13" i="14"/>
  <c r="P8" i="14"/>
  <c r="G8" i="14"/>
  <c r="F8" i="14"/>
  <c r="P7" i="14"/>
  <c r="G7" i="14"/>
  <c r="F7" i="14"/>
  <c r="P6" i="14"/>
  <c r="M6" i="14"/>
  <c r="G6" i="14"/>
  <c r="F6" i="14"/>
  <c r="P5" i="14"/>
  <c r="M5" i="14"/>
  <c r="G5" i="14"/>
  <c r="F5" i="14"/>
  <c r="G14" i="13"/>
  <c r="F14" i="13"/>
  <c r="E14" i="13"/>
  <c r="D14" i="13"/>
  <c r="C14" i="13"/>
  <c r="B14" i="13"/>
  <c r="C6" i="12"/>
  <c r="B6" i="12"/>
  <c r="D5" i="12"/>
  <c r="D4" i="12"/>
  <c r="D3" i="12"/>
  <c r="D6" i="12" s="1"/>
  <c r="D2" i="12"/>
  <c r="C12" i="11"/>
  <c r="B12" i="11"/>
  <c r="D11" i="11"/>
  <c r="M14" i="14" s="1"/>
  <c r="D10" i="11"/>
  <c r="D9" i="11"/>
  <c r="M12" i="14" s="1"/>
  <c r="D8" i="11"/>
  <c r="M11" i="14" s="1"/>
  <c r="D7" i="11"/>
  <c r="M10" i="14" s="1"/>
  <c r="D6" i="11"/>
  <c r="M9" i="14" s="1"/>
  <c r="D5" i="11"/>
  <c r="M8" i="14" s="1"/>
  <c r="D4" i="11"/>
  <c r="M7" i="14" s="1"/>
  <c r="D3" i="11"/>
  <c r="D2" i="11"/>
  <c r="D12" i="11" s="1"/>
  <c r="B12" i="14" s="1"/>
  <c r="A10" i="15" s="1"/>
  <c r="E7" i="10"/>
  <c r="D7" i="10"/>
  <c r="C7" i="10"/>
  <c r="B7" i="10"/>
  <c r="F6" i="10"/>
  <c r="F5" i="10"/>
  <c r="F4" i="10"/>
  <c r="F3" i="10"/>
  <c r="F2" i="10"/>
  <c r="F7" i="10" s="1"/>
  <c r="E14" i="9"/>
  <c r="L25" i="14" s="1"/>
  <c r="D14" i="9"/>
  <c r="L24" i="14" s="1"/>
  <c r="C14" i="9"/>
  <c r="L23" i="14" s="1"/>
  <c r="B14" i="9"/>
  <c r="L22" i="14" s="1"/>
  <c r="F13" i="9"/>
  <c r="F12" i="9"/>
  <c r="V15" i="14" s="1"/>
  <c r="F11" i="9"/>
  <c r="V14" i="14" s="1"/>
  <c r="F10" i="9"/>
  <c r="V13" i="14" s="1"/>
  <c r="F9" i="9"/>
  <c r="V12" i="14" s="1"/>
  <c r="F8" i="9"/>
  <c r="V11" i="14" s="1"/>
  <c r="F7" i="9"/>
  <c r="V10" i="14" s="1"/>
  <c r="F6" i="9"/>
  <c r="V9" i="14" s="1"/>
  <c r="F5" i="9"/>
  <c r="V8" i="14" s="1"/>
  <c r="F4" i="9"/>
  <c r="V7" i="14" s="1"/>
  <c r="F3" i="9"/>
  <c r="V6" i="14" s="1"/>
  <c r="F2" i="9"/>
  <c r="F9" i="8"/>
  <c r="E9" i="8"/>
  <c r="D9" i="8"/>
  <c r="C9" i="8"/>
  <c r="G8" i="8"/>
  <c r="Y11" i="14" s="1"/>
  <c r="G7" i="8"/>
  <c r="Y10" i="14" s="1"/>
  <c r="G6" i="8"/>
  <c r="Y9" i="14" s="1"/>
  <c r="G5" i="8"/>
  <c r="Y8" i="14" s="1"/>
  <c r="G4" i="8"/>
  <c r="Y7" i="14" s="1"/>
  <c r="G3" i="8"/>
  <c r="G9" i="8" s="1"/>
  <c r="G2" i="8"/>
  <c r="Y5" i="14" s="1"/>
  <c r="E7" i="7"/>
  <c r="D7" i="7"/>
  <c r="C7" i="7"/>
  <c r="B7" i="7"/>
  <c r="F6" i="7"/>
  <c r="F5" i="7"/>
  <c r="F4" i="7"/>
  <c r="F3" i="7"/>
  <c r="F2" i="7"/>
  <c r="E5" i="6"/>
  <c r="D5" i="6"/>
  <c r="C5" i="6"/>
  <c r="B5" i="6"/>
  <c r="F4" i="6"/>
  <c r="F3" i="6"/>
  <c r="F2" i="6"/>
  <c r="E7" i="5"/>
  <c r="D7" i="5"/>
  <c r="C7" i="5"/>
  <c r="B7" i="5"/>
  <c r="F6" i="5"/>
  <c r="F5" i="5"/>
  <c r="F4" i="5"/>
  <c r="F3" i="5"/>
  <c r="F2" i="5"/>
  <c r="E4" i="4"/>
  <c r="D4" i="4"/>
  <c r="C4" i="4"/>
  <c r="B4" i="4"/>
  <c r="F3" i="4"/>
  <c r="F2" i="4"/>
  <c r="G7" i="3"/>
  <c r="E7" i="3"/>
  <c r="K25" i="14" s="1"/>
  <c r="D7" i="3"/>
  <c r="K24" i="14" s="1"/>
  <c r="C7" i="3"/>
  <c r="K23" i="14" s="1"/>
  <c r="B7" i="3"/>
  <c r="K22" i="14" s="1"/>
  <c r="H7" i="3"/>
  <c r="C6" i="2"/>
  <c r="B6" i="2"/>
  <c r="D5" i="2"/>
  <c r="J25" i="14" s="1"/>
  <c r="D4" i="2"/>
  <c r="J24" i="14" s="1"/>
  <c r="D3" i="2"/>
  <c r="J23" i="14" s="1"/>
  <c r="D2" i="2"/>
  <c r="J22" i="14" s="1"/>
  <c r="F14" i="9" l="1"/>
  <c r="F7" i="7"/>
  <c r="S6" i="14" s="1"/>
  <c r="F5" i="6"/>
  <c r="B10" i="14" s="1"/>
  <c r="F7" i="5"/>
  <c r="S8" i="14" s="1"/>
  <c r="F4" i="4"/>
  <c r="S5" i="14" s="1"/>
  <c r="F7" i="3"/>
  <c r="B6" i="14" s="1"/>
  <c r="D6" i="15" s="1"/>
  <c r="B7" i="14"/>
  <c r="G6" i="15" s="1"/>
  <c r="D6" i="2"/>
  <c r="B5" i="14" s="1"/>
  <c r="A6" i="15" s="1"/>
  <c r="V5" i="14"/>
  <c r="Y6" i="14"/>
  <c r="B11" i="14" l="1"/>
  <c r="G10" i="15" s="1"/>
  <c r="S7" i="14"/>
  <c r="B9" i="14"/>
  <c r="B8" i="14"/>
  <c r="D10" i="15" s="1"/>
</calcChain>
</file>

<file path=xl/sharedStrings.xml><?xml version="1.0" encoding="utf-8"?>
<sst xmlns="http://schemas.openxmlformats.org/spreadsheetml/2006/main" count="513" uniqueCount="167">
  <si>
    <t>FICHE GENERALE SANITAIRES PRO</t>
  </si>
  <si>
    <t>Navigation rapide</t>
  </si>
  <si>
    <t>Feuille</t>
  </si>
  <si>
    <t>Accès direct</t>
  </si>
  <si>
    <t>Consultations</t>
  </si>
  <si>
    <t>Ouvrir la feuille</t>
  </si>
  <si>
    <t>Hospitalisations</t>
  </si>
  <si>
    <t>Bloc opératoire</t>
  </si>
  <si>
    <t>Services spécialisés</t>
  </si>
  <si>
    <t>Imagerie médicale</t>
  </si>
  <si>
    <t>Laboratoire</t>
  </si>
  <si>
    <t>Programmes de santé</t>
  </si>
  <si>
    <t>Maladies notifiables</t>
  </si>
  <si>
    <t>Morbidité &amp; mortalité</t>
  </si>
  <si>
    <t>Ressources humaines</t>
  </si>
  <si>
    <t>Activités sociales</t>
  </si>
  <si>
    <t>Évolution mensuelle</t>
  </si>
  <si>
    <t>Tableaux de synthèse</t>
  </si>
  <si>
    <t>Dashboard</t>
  </si>
  <si>
    <t>Groupe d’âge</t>
  </si>
  <si>
    <t>Masculin</t>
  </si>
  <si>
    <t>Féminin</t>
  </si>
  <si>
    <t>Total</t>
  </si>
  <si>
    <t>Retour au sommaire</t>
  </si>
  <si>
    <t>Enfants (0–14)</t>
  </si>
  <si>
    <t/>
  </si>
  <si>
    <t>Adolescents (15–19)</t>
  </si>
  <si>
    <t>Adultes (20–59)</t>
  </si>
  <si>
    <t>Personnes âgées (60+)</t>
  </si>
  <si>
    <t>Total consultations</t>
  </si>
  <si>
    <t>Service</t>
  </si>
  <si>
    <t>Enfants</t>
  </si>
  <si>
    <t>Adolescents</t>
  </si>
  <si>
    <t>Adultes</t>
  </si>
  <si>
    <t>Personnes âgées</t>
  </si>
  <si>
    <t>Décès (M)</t>
  </si>
  <si>
    <t>Décès (F)</t>
  </si>
  <si>
    <t>Médecine</t>
  </si>
  <si>
    <t>Pédiatrie</t>
  </si>
  <si>
    <t>Chirurgie</t>
  </si>
  <si>
    <t>Maternité</t>
  </si>
  <si>
    <t>Réanimation</t>
  </si>
  <si>
    <t>Type d’intervention</t>
  </si>
  <si>
    <t>Chirurgies majeures</t>
  </si>
  <si>
    <t>Chirurgies mineures</t>
  </si>
  <si>
    <t>Total interventions</t>
  </si>
  <si>
    <t>Dentisterie</t>
  </si>
  <si>
    <t>Ophtalmologie</t>
  </si>
  <si>
    <t>Physiothérapie</t>
  </si>
  <si>
    <t>Nutrition</t>
  </si>
  <si>
    <t>Santé mentale</t>
  </si>
  <si>
    <t>Examen</t>
  </si>
  <si>
    <t>Radiologie</t>
  </si>
  <si>
    <t>Échographie</t>
  </si>
  <si>
    <t>ECG</t>
  </si>
  <si>
    <t>Discipline</t>
  </si>
  <si>
    <t>Parasitologie</t>
  </si>
  <si>
    <t>Bactériologie</t>
  </si>
  <si>
    <t>Sérologie</t>
  </si>
  <si>
    <t>Hématologie</t>
  </si>
  <si>
    <t>Biochimie</t>
  </si>
  <si>
    <t>Programme</t>
  </si>
  <si>
    <t>Indicateur</t>
  </si>
  <si>
    <t>PEV</t>
  </si>
  <si>
    <t>Enfants vaccinés</t>
  </si>
  <si>
    <t>-</t>
  </si>
  <si>
    <t>CPN</t>
  </si>
  <si>
    <t>Femmes suivies</t>
  </si>
  <si>
    <t>Accouchements</t>
  </si>
  <si>
    <t>Nombre</t>
  </si>
  <si>
    <t>Césariennes</t>
  </si>
  <si>
    <t>UPEC</t>
  </si>
  <si>
    <t>File active VIH</t>
  </si>
  <si>
    <t>PTME</t>
  </si>
  <si>
    <t>Femmes enceintes testées</t>
  </si>
  <si>
    <t>CDT</t>
  </si>
  <si>
    <t>Cas tuberculose</t>
  </si>
  <si>
    <t>Maladie</t>
  </si>
  <si>
    <t>Paludisme</t>
  </si>
  <si>
    <t>Tuberculose</t>
  </si>
  <si>
    <t>Tétanos néonatal</t>
  </si>
  <si>
    <t>Lèpre</t>
  </si>
  <si>
    <t>Fièvre jaune</t>
  </si>
  <si>
    <t>Méningite (CSM)</t>
  </si>
  <si>
    <t>Rage humaine</t>
  </si>
  <si>
    <t>Choléra</t>
  </si>
  <si>
    <t>Fièvre typhoïde</t>
  </si>
  <si>
    <t>Poliomyélite</t>
  </si>
  <si>
    <t>Rougeole</t>
  </si>
  <si>
    <t>COVID-19</t>
  </si>
  <si>
    <t>Top 10 maladies</t>
  </si>
  <si>
    <t>Décès hospitaliers</t>
  </si>
  <si>
    <t>Décès maternels</t>
  </si>
  <si>
    <t>Taux mortalité hospitalière (%)</t>
  </si>
  <si>
    <t>Taux mortalité maternelle (%)</t>
  </si>
  <si>
    <t>Catégorie</t>
  </si>
  <si>
    <t>Spécialistes</t>
  </si>
  <si>
    <t>Médecins</t>
  </si>
  <si>
    <t>Infirmiers</t>
  </si>
  <si>
    <t>Sages-femmes</t>
  </si>
  <si>
    <t>Infirmiers spécialisés</t>
  </si>
  <si>
    <t>Imagerie</t>
  </si>
  <si>
    <t>Pharmacie</t>
  </si>
  <si>
    <t>Administration</t>
  </si>
  <si>
    <t>Autres</t>
  </si>
  <si>
    <t>Activité</t>
  </si>
  <si>
    <t>Réunions de direction</t>
  </si>
  <si>
    <t>Formations continues</t>
  </si>
  <si>
    <t>Cultes / assistance spirituelle</t>
  </si>
  <si>
    <t>Rondes auprès des patients</t>
  </si>
  <si>
    <t>Mois</t>
  </si>
  <si>
    <t>Consultations (M)</t>
  </si>
  <si>
    <t>Consultations (F)</t>
  </si>
  <si>
    <t>Décès hosp.</t>
  </si>
  <si>
    <t>Bloc opér.</t>
  </si>
  <si>
    <t>Analyses labo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</si>
  <si>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</si>
  <si>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</si>
  <si>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</si>
  <si>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</si>
  <si>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</si>
  <si>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</si>
  <si>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</si>
  <si>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</si>
  <si>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</si>
  <si>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</si>
  <si>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</si>
  <si>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</si>
  <si>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</si>
  <si>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TABLEAUX DE SYNTHESE PROFESSIONNELS</t>
  </si>
  <si>
    <t>Vue consolidée des indicateurs à utiliser pour le reporting et le dashboard</t>
  </si>
  <si>
    <t>Indicateurs clés</t>
  </si>
  <si>
    <t>Consultations par âge et sexe</t>
  </si>
  <si>
    <t>Hospitalisations par service</t>
  </si>
  <si>
    <t>Ressources humaines par catégorie</t>
  </si>
  <si>
    <t>Décès hospitaliers par âge</t>
  </si>
  <si>
    <t>Activité technique</t>
  </si>
  <si>
    <t>Valeur</t>
  </si>
  <si>
    <t>Tranche d’âge</t>
  </si>
  <si>
    <t>Décès</t>
  </si>
  <si>
    <t>Volume</t>
  </si>
  <si>
    <t>Total cas</t>
  </si>
  <si>
    <t>Réalisations</t>
  </si>
  <si>
    <t>Consultations totales</t>
  </si>
  <si>
    <t>PEV (vaccination)</t>
  </si>
  <si>
    <t>Hospitalisations totales</t>
  </si>
  <si>
    <t>Interventions bloc</t>
  </si>
  <si>
    <t>UPEC / VIH</t>
  </si>
  <si>
    <t>Analyses laboratoire</t>
  </si>
  <si>
    <t>CDT / Tuberculose</t>
  </si>
  <si>
    <t>Évolution mensuelle – Activité sanitaire</t>
  </si>
  <si>
    <t>Analyse comparative par tranche d'âge</t>
  </si>
  <si>
    <t>Consult. M</t>
  </si>
  <si>
    <t>Consult. F</t>
  </si>
  <si>
    <t>Tranche d'âge</t>
  </si>
  <si>
    <t>Maladies notif.</t>
  </si>
  <si>
    <t>DASHBOARD EXECUTIF</t>
  </si>
  <si>
    <t>Vue de pilotage mensuelle des activités sanitaires</t>
  </si>
  <si>
    <t>Ouvrir Tableaux de synthèse</t>
  </si>
  <si>
    <t>Ouvrir Consultations</t>
  </si>
  <si>
    <t>Ouvrir Hospitalisations</t>
  </si>
  <si>
    <t>Mortalité par tranche d’âge</t>
  </si>
  <si>
    <t>Ouvrir Morbidité &amp; mortalité</t>
  </si>
  <si>
    <t>Ouvrir Ressources humaines</t>
  </si>
  <si>
    <t>Ouvrir Maladies notifiables</t>
  </si>
  <si>
    <t>Ouvrir Programmes de santé</t>
  </si>
  <si>
    <t>Ouvrir Évolution mensuelle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</si>
</sst>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name val="Calibri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  <font>
      <b/>
      <u/>
      <sz val="11"/>
      <color rgb="FF0563C1"/>
      <name val="Calibri"/>
    </font>
    <font>
      <b/>
      <sz val="16"/>
      <color rgb="FFFFFFFF"/>
      <name val="Calibri"/>
    </font>
    <font>
      <i/>
      <sz val="11"/>
      <color rgb="FF3F3F3F"/>
      <name val="Calibri"/>
    </font>
    <font>
      <b/>
      <sz val="12"/>
      <color rgb="FFFFFFFF"/>
      <name val="Calibri"/>
    </font>
    <font>
      <b/>
      <sz val="20"/>
      <color rgb="FFFFFFFF"/>
      <name val="Calibri"/>
    </font>
    <font>
      <i/>
      <sz val="11"/>
      <color rgb="FF4B5563"/>
      <name val="Calibri"/>
    </font>
    <font>
      <b/>
      <sz val="11"/>
      <color rgb="FF374151"/>
      <name val="Calibri"/>
    </font>
    <font>
      <b/>
      <sz val="18"/>
      <color rgb="FF111827"/>
      <name val="Calibri"/>
    </font>
    <font>
      <b/>
      <sz val="12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274E13"/>
      </patternFill>
    </fill>
    <fill>
      <patternFill patternType="solid">
        <fgColor rgb="FF0F4C5C"/>
      </patternFill>
    </fill>
    <fill>
      <patternFill patternType="solid">
        <fgColor rgb="FF1F2937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EADCF8"/>
      </patternFill>
    </fill>
    <fill>
      <patternFill patternType="solid">
        <fgColor rgb="FFE5E7EB"/>
      </patternFill>
    </fill>
  </fills>
  <borders count="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2" borderId="0" xfId="0" applyFont="1" applyFill="1"/>
    <xf numFmtId="0" fontId="5" fillId="2" borderId="1" xfId="0" applyFont="1" applyFill="1" applyBorder="1"/>
    <xf numFmtId="0" fontId="6" fillId="2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6" fillId="0" borderId="0" xfId="0" applyFont="1"/>
    <xf numFmtId="0" fontId="3" fillId="0" borderId="0" xfId="0" applyFont="1"/>
    <xf numFmtId="0" fontId="3" fillId="3" borderId="2" xfId="0" applyFont="1" applyFill="1" applyBorder="1"/>
    <xf numFmtId="0" fontId="0" fillId="0" borderId="3" xfId="0" applyBorder="1"/>
    <xf numFmtId="3" fontId="0" fillId="0" borderId="3" xfId="0" applyNumberFormat="1" applyBorder="1" applyAlignment="1">
      <alignment horizontal="center" vertical="center"/>
    </xf>
    <xf numFmtId="0" fontId="14" fillId="13" borderId="0" xfId="0" applyFont="1" applyFill="1"/>
    <xf numFmtId="0" fontId="1" fillId="2" borderId="0" xfId="0" applyFont="1" applyFill="1"/>
    <xf numFmtId="0" fontId="9" fillId="6" borderId="0" xfId="0" applyFont="1" applyFill="1" applyAlignment="1">
      <alignment horizontal="center" vertical="center"/>
    </xf>
    <xf numFmtId="0" fontId="7" fillId="5" borderId="0" xfId="0" applyFont="1" applyFill="1"/>
    <xf numFmtId="0" fontId="8" fillId="0" borderId="0" xfId="0" applyFont="1"/>
    <xf numFmtId="3" fontId="13" fillId="0" borderId="4" xfId="0" applyNumberFormat="1" applyFont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8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Consultations par Age et sexe (M vs F)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'Tableaux de synthèse'!$F$4</c:f>
              <c:strCache>
                <c:ptCount val="1"/>
                <c:pt idx="0">
                  <c:v>Masculin</c:v>
                </c:pt>
              </c:strCache>
            </c:strRef>
          </c:tx>
          <c:invertIfNegative val="0"/>
          <c:trendline>
            <c:trendlineType val="linear"/>
            <c:dispRSqr val="0"/>
            <c:dispEq val="0"/>
          </c:trendline>
          <c:trendline>
            <c:trendlineType val="exp"/>
            <c:dispRSqr val="0"/>
            <c:dispEq val="0"/>
          </c:trendline>
          <c:val>
            <c:numRef>
              <c:f>'Tableaux de synthèse'!$F$5:$F$8</c:f>
              <c:numCache>
                <c:formatCode>#,##0</c:formatCode>
                <c:ptCount val="4"/>
                <c:pt idx="0">
                  <c:v>12</c:v>
                </c:pt>
                <c:pt idx="1">
                  <c:v>10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8C-4714-AF3C-D11F3F271526}"/>
            </c:ext>
          </c:extLst>
        </c:ser>
        <c:ser>
          <c:idx val="1"/>
          <c:order val="1"/>
          <c:tx>
            <c:strRef>
              <c:f>'Tableaux de synthèse'!$G$4</c:f>
              <c:strCache>
                <c:ptCount val="1"/>
                <c:pt idx="0">
                  <c:v>Féminin</c:v>
                </c:pt>
              </c:strCache>
            </c:strRef>
          </c:tx>
          <c:invertIfNegative val="0"/>
          <c:val>
            <c:numRef>
              <c:f>'Tableaux de synthèse'!$G$5:$G$8</c:f>
              <c:numCache>
                <c:formatCode>#,##0</c:formatCode>
                <c:ptCount val="4"/>
                <c:pt idx="0">
                  <c:v>4</c:v>
                </c:pt>
                <c:pt idx="1">
                  <c:v>4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42-4105-A0BE-599E1BDE8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1596128"/>
        <c:axId val="1611593216"/>
      </c:barChart>
      <c:catAx>
        <c:axId val="161159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1593216"/>
        <c:crosses val="autoZero"/>
        <c:auto val="1"/>
        <c:lblAlgn val="ctr"/>
        <c:lblOffset val="100"/>
        <c:noMultiLvlLbl val="0"/>
      </c:catAx>
      <c:valAx>
        <c:axId val="16115932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611596128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Hospitalisations par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F2D-44E1-B3AC-7C9AF9F429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F2D-44E1-B3AC-7C9AF9F4292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F2D-44E1-B3AC-7C9AF9F4292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F2D-44E1-B3AC-7C9AF9F4292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F2D-44E1-B3AC-7C9AF9F429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'Tableaux de synthèse'!$I$5:$I$9</c:f>
              <c:strCache>
                <c:ptCount val="5"/>
                <c:pt idx="0">
                  <c:v>Médecine</c:v>
                </c:pt>
                <c:pt idx="1">
                  <c:v>Pédiatrie</c:v>
                </c:pt>
                <c:pt idx="2">
                  <c:v>Chirurgie</c:v>
                </c:pt>
                <c:pt idx="3">
                  <c:v>Maternité</c:v>
                </c:pt>
                <c:pt idx="4">
                  <c:v>Réanimation</c:v>
                </c:pt>
              </c:strCache>
            </c:strRef>
          </c:cat>
          <c:val>
            <c:numRef>
              <c:f>'Tableaux de synthèse'!$J$5:$J$9</c:f>
              <c:numCache>
                <c:formatCode>#,##0</c:formatCode>
                <c:ptCount val="5"/>
                <c:pt idx="0">
                  <c:v>35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95-4710-A800-E16322F5F55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Ressources humaines par caté</a:t>
            </a:r>
          </a:p>
          <a:p>
            <a:pPr>
              <a:defRPr/>
            </a:pPr>
            <a:r>
              <a:rPr lang="fr-FR"/>
              <a:t>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'Tableaux de synthèse'!$M$4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7E-40A6-9C62-84926F48FA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7E-40A6-9C62-84926F48FA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7E-40A6-9C62-84926F48FA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47E-40A6-9C62-84926F48FA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47E-40A6-9C62-84926F48FA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47E-40A6-9C62-84926F48FA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47E-40A6-9C62-84926F48FA9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47E-40A6-9C62-84926F48FA9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47E-40A6-9C62-84926F48FA9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47E-40A6-9C62-84926F48FA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'Tableaux de synthèse'!$L$5:$L$14</c:f>
              <c:strCache>
                <c:ptCount val="10"/>
                <c:pt idx="0">
                  <c:v>Spécialistes</c:v>
                </c:pt>
                <c:pt idx="1">
                  <c:v>Médecins</c:v>
                </c:pt>
                <c:pt idx="2">
                  <c:v>Infirmiers</c:v>
                </c:pt>
                <c:pt idx="3">
                  <c:v>Sages-femmes</c:v>
                </c:pt>
                <c:pt idx="4">
                  <c:v>Infirmiers spécialisés</c:v>
                </c:pt>
                <c:pt idx="5">
                  <c:v>Laboratoire</c:v>
                </c:pt>
                <c:pt idx="6">
                  <c:v>Imagerie</c:v>
                </c:pt>
                <c:pt idx="7">
                  <c:v>Pharmacie</c:v>
                </c:pt>
                <c:pt idx="8">
                  <c:v>Administration</c:v>
                </c:pt>
                <c:pt idx="9">
                  <c:v>Autres</c:v>
                </c:pt>
              </c:strCache>
            </c:strRef>
          </c:cat>
          <c:val>
            <c:numRef>
              <c:f>'Tableaux de synthèse'!$M$5:$M$14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3A-435F-AC01-24F229ED3F2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Décès hospitaliers par tranche d'âge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'Tableaux de synthèse'!$O$8</c:f>
              <c:strCache>
                <c:ptCount val="1"/>
                <c:pt idx="0">
                  <c:v>Personnes âgées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'Tableaux de synthèse'!$P$4:$P$7</c:f>
              <c:strCache>
                <c:ptCount val="1"/>
                <c:pt idx="0">
                  <c:v>Décès</c:v>
                </c:pt>
              </c:strCache>
            </c:strRef>
          </c:cat>
          <c:val>
            <c:numRef>
              <c:f>'Tableaux de synthèse'!$P$8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83-4466-A0B6-70826B5CF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922704"/>
        <c:axId val="1605923120"/>
      </c:lineChart>
      <c:catAx>
        <c:axId val="16059227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5923120"/>
        <c:crosses val="autoZero"/>
        <c:auto val="1"/>
        <c:lblAlgn val="ctr"/>
        <c:lblOffset val="100"/>
        <c:noMultiLvlLbl val="0"/>
      </c:catAx>
      <c:valAx>
        <c:axId val="1605923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59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Maladies notifiables - Charge Epidémiologique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'Tableaux de synthèse'!$V$4</c:f>
              <c:strCache>
                <c:ptCount val="1"/>
                <c:pt idx="0">
                  <c:v>Total cas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53-403A-8FC1-E05F6C64B7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53-403A-8FC1-E05F6C64B7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53-403A-8FC1-E05F6C64B7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53-403A-8FC1-E05F6C64B7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E53-403A-8FC1-E05F6C64B7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E53-403A-8FC1-E05F6C64B7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E53-403A-8FC1-E05F6C64B7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E53-403A-8FC1-E05F6C64B77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E53-403A-8FC1-E05F6C64B77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E53-403A-8FC1-E05F6C64B77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E53-403A-8FC1-E05F6C64B77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E53-403A-8FC1-E05F6C64B77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'Tableaux de synthèse'!$U$5:$U$16</c:f>
              <c:strCache>
                <c:ptCount val="12"/>
                <c:pt idx="0">
                  <c:v>Paludisme</c:v>
                </c:pt>
                <c:pt idx="1">
                  <c:v>Tuberculose</c:v>
                </c:pt>
                <c:pt idx="2">
                  <c:v>Tétanos néonatal</c:v>
                </c:pt>
                <c:pt idx="3">
                  <c:v>Lèpre</c:v>
                </c:pt>
                <c:pt idx="4">
                  <c:v>Fièvre jaune</c:v>
                </c:pt>
                <c:pt idx="5">
                  <c:v>Méningite (CSM)</c:v>
                </c:pt>
                <c:pt idx="6">
                  <c:v>Rage humaine</c:v>
                </c:pt>
                <c:pt idx="7">
                  <c:v>Choléra</c:v>
                </c:pt>
                <c:pt idx="8">
                  <c:v>Fièvre typhoïde</c:v>
                </c:pt>
                <c:pt idx="9">
                  <c:v>Poliomyélite</c:v>
                </c:pt>
                <c:pt idx="10">
                  <c:v>Rougeole</c:v>
                </c:pt>
                <c:pt idx="11">
                  <c:v>COVID-19</c:v>
                </c:pt>
              </c:strCache>
            </c:strRef>
          </c:cat>
          <c:val>
            <c:numRef>
              <c:f>'Tableaux de synthèse'!$V$5:$V$16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24-4A49-85A2-AC266E29F0A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Programmes de santé - Réalisations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'Tableaux de synthèse'!$Y$4</c:f>
              <c:strCache>
                <c:ptCount val="1"/>
                <c:pt idx="0">
                  <c:v>Réalisations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'Tableaux de synthèse'!$X$5:$X$11</c:f>
              <c:strCache>
                <c:ptCount val="7"/>
                <c:pt idx="0">
                  <c:v>PEV (vaccination)</c:v>
                </c:pt>
                <c:pt idx="1">
                  <c:v>CPN</c:v>
                </c:pt>
                <c:pt idx="2">
                  <c:v>Accouchements</c:v>
                </c:pt>
                <c:pt idx="3">
                  <c:v>Césariennes</c:v>
                </c:pt>
                <c:pt idx="4">
                  <c:v>UPEC / VIH</c:v>
                </c:pt>
                <c:pt idx="5">
                  <c:v>PTME</c:v>
                </c:pt>
                <c:pt idx="6">
                  <c:v>CDT / Tuberculose</c:v>
                </c:pt>
              </c:strCache>
            </c:strRef>
          </c:cat>
          <c:val>
            <c:numRef>
              <c:f>'Tableaux de synthèse'!$Y$5:$Y$11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6-47DA-B0C6-DE2459B52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572400"/>
        <c:axId val="1618572816"/>
      </c:barChart>
      <c:catAx>
        <c:axId val="1618572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8572816"/>
        <c:crosses val="autoZero"/>
        <c:auto val="1"/>
        <c:lblAlgn val="ctr"/>
        <c:lblOffset val="100"/>
        <c:noMultiLvlLbl val="0"/>
      </c:catAx>
      <c:valAx>
        <c:axId val="16185728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618572400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Evolution mensuelle des consultations et hospitalisations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'Tableaux de synthèse'!$D$21:$D$32</c:f>
              <c:strCache>
                <c:ptCount val="12"/>
                <c:pt idx="0">
                  <c:v>Hospitalisations</c:v>
                </c:pt>
              </c:strCache>
            </c:strRef>
          </c:tx>
          <c:marker>
            <c:symbol val="none"/>
          </c:marker>
          <c:cat>
            <c:strRef>
              <c:f>'Tableaux de synthèse'!$A$22:$A$33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'Tableaux de synthèse'!$D$33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80-4420-BE48-4B9390824463}"/>
            </c:ext>
          </c:extLst>
        </c:ser>
        <c:ser>
          <c:idx val="1"/>
          <c:order val="1"/>
          <c:tx>
            <c:strRef>
              <c:f>'Tableaux de synthèse'!$B$21</c:f>
              <c:strCache>
                <c:ptCount val="1"/>
                <c:pt idx="0">
                  <c:v>Consult. M</c:v>
                </c:pt>
              </c:strCache>
            </c:strRef>
          </c:tx>
          <c:marker>
            <c:symbol val="none"/>
          </c:marker>
          <c:cat>
            <c:strRef>
              <c:f>'Tableaux de synthèse'!$A$22:$A$33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0462-4896-982C-AFFFE4E1ACB1}"/>
            </c:ext>
          </c:extLst>
        </c:ser>
        <c:ser>
          <c:idx val="3"/>
          <c:order val="2"/>
          <c:tx>
            <c:strRef>
              <c:f>'Tableaux de synthèse'!$E$21</c:f>
              <c:strCache>
                <c:ptCount val="1"/>
                <c:pt idx="0">
                  <c:v>Décès hosp.</c:v>
                </c:pt>
              </c:strCache>
            </c:strRef>
          </c:tx>
          <c:marker>
            <c:symbol val="none"/>
          </c:marker>
          <c:cat>
            <c:strRef>
              <c:f>'Tableaux de synthèse'!$A$22:$A$33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0462-4896-982C-AFFFE4E1ACB1}"/>
            </c:ext>
          </c:extLst>
        </c:ser>
        <c:ser>
          <c:idx val="5"/>
          <c:order val="3"/>
          <c:tx>
            <c:strRef>
              <c:f>'Tableaux de synthèse'!$F$21</c:f>
              <c:strCache>
                <c:ptCount val="1"/>
                <c:pt idx="0">
                  <c:v>Bloc opér.</c:v>
                </c:pt>
              </c:strCache>
            </c:strRef>
          </c:tx>
          <c:marker>
            <c:symbol val="none"/>
          </c:marker>
          <c:cat>
            <c:strRef>
              <c:f>'Tableaux de synthèse'!$A$22:$A$33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0462-4896-982C-AFFFE4E1ACB1}"/>
            </c:ext>
          </c:extLst>
        </c:ser>
        <c:ser>
          <c:idx val="6"/>
          <c:order val="4"/>
          <c:tx>
            <c:strRef>
              <c:f>'Tableaux de synthèse'!$G$21</c:f>
              <c:strCache>
                <c:ptCount val="1"/>
                <c:pt idx="0">
                  <c:v>Analyses labo</c:v>
                </c:pt>
              </c:strCache>
            </c:strRef>
          </c:tx>
          <c:marker>
            <c:symbol val="none"/>
          </c:marker>
          <c:cat>
            <c:strRef>
              <c:f>'Tableaux de synthèse'!$A$22:$A$33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0462-4896-982C-AFFFE4E1A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574480"/>
        <c:axId val="1618574896"/>
      </c:lineChart>
      <c:catAx>
        <c:axId val="161857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8574896"/>
        <c:crosses val="autoZero"/>
        <c:auto val="1"/>
        <c:lblAlgn val="ctr"/>
        <c:lblOffset val="100"/>
        <c:noMultiLvlLbl val="0"/>
      </c:catAx>
      <c:valAx>
        <c:axId val="16185748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618574480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Analyse comparative par tranche d'age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'Tableaux de synthèse'!$J$21</c:f>
              <c:strCache>
                <c:ptCount val="1"/>
                <c:pt idx="0">
                  <c:v>Consultations</c:v>
                </c:pt>
              </c:strCache>
            </c:strRef>
          </c:tx>
          <c:invertIfNegative val="0"/>
          <c:cat>
            <c:strRef>
              <c:f>'Tableaux de synthèse'!$I$22:$I$25</c:f>
              <c:strCache>
                <c:ptCount val="4"/>
                <c:pt idx="0">
                  <c:v>Enfants (0–14)</c:v>
                </c:pt>
                <c:pt idx="1">
                  <c:v>Adolescents (15–19)</c:v>
                </c:pt>
                <c:pt idx="2">
                  <c:v>Adultes (20–59)</c:v>
                </c:pt>
                <c:pt idx="3">
                  <c:v>Personnes âgées (60+)</c:v>
                </c:pt>
              </c:strCache>
            </c:strRef>
          </c:cat>
          <c:val>
            <c:numRef>
              <c:f>'Tableaux de synthèse'!$J$22:$J$25</c:f>
              <c:numCache>
                <c:formatCode>#,##0</c:formatCode>
                <c:ptCount val="4"/>
                <c:pt idx="0">
                  <c:v>16</c:v>
                </c:pt>
                <c:pt idx="1">
                  <c:v>14</c:v>
                </c:pt>
                <c:pt idx="2">
                  <c:v>7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C0-4ADC-9EEA-D61DCCBC0A27}"/>
            </c:ext>
          </c:extLst>
        </c:ser>
        <c:ser>
          <c:idx val="1"/>
          <c:order val="1"/>
          <c:tx>
            <c:strRef>
              <c:f>'Tableaux de synthèse'!$K$21</c:f>
              <c:strCache>
                <c:ptCount val="1"/>
                <c:pt idx="0">
                  <c:v>Hospitalisations</c:v>
                </c:pt>
              </c:strCache>
            </c:strRef>
          </c:tx>
          <c:invertIfNegative val="0"/>
          <c:cat>
            <c:strRef>
              <c:f>'Tableaux de synthèse'!$I$22:$I$25</c:f>
              <c:strCache>
                <c:ptCount val="4"/>
                <c:pt idx="0">
                  <c:v>Enfants (0–14)</c:v>
                </c:pt>
                <c:pt idx="1">
                  <c:v>Adolescents (15–19)</c:v>
                </c:pt>
                <c:pt idx="2">
                  <c:v>Adultes (20–59)</c:v>
                </c:pt>
                <c:pt idx="3">
                  <c:v>Personnes âgées (60+)</c:v>
                </c:pt>
              </c:strCache>
            </c:strRef>
          </c:cat>
          <c:val>
            <c:numRef>
              <c:f>'Tableaux de synthèse'!$K$22:$K$25</c:f>
              <c:numCache>
                <c:formatCode>#,##0</c:formatCode>
                <c:ptCount val="4"/>
                <c:pt idx="0">
                  <c:v>12</c:v>
                </c:pt>
                <c:pt idx="1">
                  <c:v>35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C0-4ADC-9EEA-D61DCCBC0A27}"/>
            </c:ext>
          </c:extLst>
        </c:ser>
        <c:ser>
          <c:idx val="2"/>
          <c:order val="2"/>
          <c:tx>
            <c:strRef>
              <c:f>'Tableaux de synthèse'!$L$21</c:f>
              <c:strCache>
                <c:ptCount val="1"/>
                <c:pt idx="0">
                  <c:v>Maladies notif.</c:v>
                </c:pt>
              </c:strCache>
            </c:strRef>
          </c:tx>
          <c:invertIfNegative val="0"/>
          <c:cat>
            <c:strRef>
              <c:f>'Tableaux de synthèse'!$I$22:$I$25</c:f>
              <c:strCache>
                <c:ptCount val="4"/>
                <c:pt idx="0">
                  <c:v>Enfants (0–14)</c:v>
                </c:pt>
                <c:pt idx="1">
                  <c:v>Adolescents (15–19)</c:v>
                </c:pt>
                <c:pt idx="2">
                  <c:v>Adultes (20–59)</c:v>
                </c:pt>
                <c:pt idx="3">
                  <c:v>Personnes âgées (60+)</c:v>
                </c:pt>
              </c:strCache>
            </c:strRef>
          </c:cat>
          <c:val>
            <c:numRef>
              <c:f>'Tableaux de synthèse'!$L$22:$L$25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C0-4ADC-9EEA-D61DCCBC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575312"/>
        <c:axId val="1618573232"/>
      </c:barChart>
      <c:catAx>
        <c:axId val="161857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18573232"/>
        <c:crosses val="autoZero"/>
        <c:auto val="1"/>
        <c:lblAlgn val="ctr"/>
        <c:lblOffset val="100"/>
        <c:noMultiLvlLbl val="0"/>
      </c:catAx>
      <c:valAx>
        <c:axId val="16185732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618575312"/>
        <c:crosses val="autoZero"/>
        <c:crossBetween val="between"/>
      </c:valAx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5</xdr:col>
      <xdr:colOff>0</xdr:colOff>
      <xdr:row>34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77136C0-55B7-4158-9F04-BC14BA317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EF1239F-1985-4A99-B9D1-775ECD9FD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0</xdr:rowOff>
    </xdr:from>
    <xdr:to>
      <xdr:col>5</xdr:col>
      <xdr:colOff>0</xdr:colOff>
      <xdr:row>50</xdr:row>
      <xdr:rowOff>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F1EBDEA-008B-4910-9720-76038C069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10</xdr:col>
      <xdr:colOff>0</xdr:colOff>
      <xdr:row>50</xdr:row>
      <xdr:rowOff>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6516FAD-A264-4F04-8F63-30D18AEA9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5</xdr:col>
      <xdr:colOff>0</xdr:colOff>
      <xdr:row>68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523A5B12-8B3E-4B4F-A995-FF2215556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52</xdr:row>
      <xdr:rowOff>0</xdr:rowOff>
    </xdr:from>
    <xdr:to>
      <xdr:col>10</xdr:col>
      <xdr:colOff>0</xdr:colOff>
      <xdr:row>68</xdr:row>
      <xdr:rowOff>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DB2EAFF9-3E1F-40FF-8DA9-F972EF9F6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70</xdr:row>
      <xdr:rowOff>0</xdr:rowOff>
    </xdr:from>
    <xdr:to>
      <xdr:col>5</xdr:col>
      <xdr:colOff>0</xdr:colOff>
      <xdr:row>86</xdr:row>
      <xdr:rowOff>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CE01F821-F4B2-482B-A5C5-3C0779ED3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70</xdr:row>
      <xdr:rowOff>0</xdr:rowOff>
    </xdr:from>
    <xdr:to>
      <xdr:col>10</xdr:col>
      <xdr:colOff>0</xdr:colOff>
      <xdr:row>86</xdr:row>
      <xdr:rowOff>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E6BB1902-75EE-41D1-9335-DDED3F77A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B17"/>
  <sheetViews>
    <sheetView workbookViewId="0">
      <pane ySplit="3" topLeftCell="A4" activePane="bottomLeft" state="frozen"/>
      <selection pane="bottomLeft" sqref="A1:B1"/>
    </sheetView>
  </sheetViews>
  <sheetFormatPr baseColWidth="10" defaultColWidth="9.140625" defaultRowHeight="15" x14ac:dyDescent="0.25"/>
  <cols>
    <col min="1" max="1" width="32" customWidth="1"/>
    <col min="2" max="2" width="24" customWidth="1"/>
  </cols>
  <sheetData>
    <row r="1" spans="1:2" ht="21" x14ac:dyDescent="0.35">
      <c r="A1" s="18" t="s">
        <v>0</v>
      </c>
      <c r="B1" s="18"/>
    </row>
    <row r="2" spans="1:2" x14ac:dyDescent="0.25">
      <c r="A2" s="1" t="s">
        <v>1</v>
      </c>
    </row>
    <row r="3" spans="1:2" s="2" customFormat="1" x14ac:dyDescent="0.25">
      <c r="A3" s="2" t="s">
        <v>2</v>
      </c>
      <c r="B3" s="2" t="s">
        <v>3</v>
      </c>
    </row>
    <row r="4" spans="1:2" x14ac:dyDescent="0.25">
      <c r="A4" t="s">
        <v>4</v>
      </c>
      <c r="B4" s="3" t="s">
        <v>5</v>
      </c>
    </row>
    <row r="5" spans="1:2" x14ac:dyDescent="0.25">
      <c r="A5" t="s">
        <v>6</v>
      </c>
      <c r="B5" s="3" t="s">
        <v>5</v>
      </c>
    </row>
    <row r="6" spans="1:2" x14ac:dyDescent="0.25">
      <c r="A6" t="s">
        <v>7</v>
      </c>
      <c r="B6" s="3" t="s">
        <v>5</v>
      </c>
    </row>
    <row r="7" spans="1:2" x14ac:dyDescent="0.25">
      <c r="A7" t="s">
        <v>8</v>
      </c>
      <c r="B7" s="3" t="s">
        <v>5</v>
      </c>
    </row>
    <row r="8" spans="1:2" x14ac:dyDescent="0.25">
      <c r="A8" t="s">
        <v>9</v>
      </c>
      <c r="B8" s="3" t="s">
        <v>5</v>
      </c>
    </row>
    <row r="9" spans="1:2" x14ac:dyDescent="0.25">
      <c r="A9" t="s">
        <v>10</v>
      </c>
      <c r="B9" s="3" t="s">
        <v>5</v>
      </c>
    </row>
    <row r="10" spans="1:2" x14ac:dyDescent="0.25">
      <c r="A10" t="s">
        <v>11</v>
      </c>
      <c r="B10" s="3" t="s">
        <v>5</v>
      </c>
    </row>
    <row r="11" spans="1:2" x14ac:dyDescent="0.25">
      <c r="A11" t="s">
        <v>12</v>
      </c>
      <c r="B11" s="3" t="s">
        <v>5</v>
      </c>
    </row>
    <row r="12" spans="1:2" x14ac:dyDescent="0.25">
      <c r="A12" t="s">
        <v>13</v>
      </c>
      <c r="B12" s="3" t="s">
        <v>5</v>
      </c>
    </row>
    <row r="13" spans="1:2" x14ac:dyDescent="0.25">
      <c r="A13" t="s">
        <v>14</v>
      </c>
      <c r="B13" s="3" t="s">
        <v>5</v>
      </c>
    </row>
    <row r="14" spans="1:2" x14ac:dyDescent="0.25">
      <c r="A14" t="s">
        <v>15</v>
      </c>
      <c r="B14" s="3" t="s">
        <v>5</v>
      </c>
    </row>
    <row r="15" spans="1:2" x14ac:dyDescent="0.25">
      <c r="A15" t="s">
        <v>16</v>
      </c>
      <c r="B15" s="3" t="s">
        <v>5</v>
      </c>
    </row>
    <row r="16" spans="1:2" x14ac:dyDescent="0.25">
      <c r="A16" t="s">
        <v>17</v>
      </c>
      <c r="B16" s="3" t="s">
        <v>5</v>
      </c>
    </row>
    <row r="17" spans="1:2" x14ac:dyDescent="0.25">
      <c r="A17" t="s">
        <v>18</v>
      </c>
      <c r="B17" s="3" t="s">
        <v>5</v>
      </c>
    </row>
  </sheetData>
  <mergeCells count="1">
    <mergeCell ref="A1:B1"/>
  </mergeCells>
  <hyperlinks>
    <hyperlink ref="B4" location="#'Consultations'!A1" tooltip="Aller vers Consultations" display="Ouvrir la feuille" xr:uid="{00000000-0004-0000-0000-000000000000}"/>
    <hyperlink ref="B5" location="#'Hospitalisations'!A1" tooltip="Aller vers Hospitalisations" display="Ouvrir la feuille" xr:uid="{00000000-0004-0000-0000-000001000000}"/>
    <hyperlink ref="B6" location="#'Bloc opératoire'!A1" tooltip="Aller vers Bloc opératoire" display="Ouvrir la feuille" xr:uid="{00000000-0004-0000-0000-000002000000}"/>
    <hyperlink ref="B7" location="#'Services spécialisés'!A1" tooltip="Aller vers Services spécialisés" display="Ouvrir la feuille" xr:uid="{00000000-0004-0000-0000-000003000000}"/>
    <hyperlink ref="B8" location="#'Imagerie médicale'!A1" tooltip="Aller vers Imagerie médicale" display="Ouvrir la feuille" xr:uid="{00000000-0004-0000-0000-000004000000}"/>
    <hyperlink ref="B9" location="#'Laboratoire'!A1" tooltip="Aller vers Laboratoire" display="Ouvrir la feuille" xr:uid="{00000000-0004-0000-0000-000005000000}"/>
    <hyperlink ref="B10" location="#'Programmes de santé'!A1" tooltip="Aller vers Programmes de santé" display="Ouvrir la feuille" xr:uid="{00000000-0004-0000-0000-000006000000}"/>
    <hyperlink ref="B11" location="#'Maladies notifiables'!A1" tooltip="Aller vers Maladies notifiables" display="Ouvrir la feuille" xr:uid="{00000000-0004-0000-0000-000007000000}"/>
    <hyperlink ref="B12" location="#'Morbidité &amp; mortalité'!A1" tooltip="Aller vers Morbidité &amp; mortalité" display="Ouvrir la feuille" xr:uid="{00000000-0004-0000-0000-000008000000}"/>
    <hyperlink ref="B13" location="#'Ressources humaines'!A1" tooltip="Aller vers Ressources humaines" display="Ouvrir la feuille" xr:uid="{00000000-0004-0000-0000-000009000000}"/>
    <hyperlink ref="B14" location="#'Activités sociales'!A1" tooltip="Aller vers Activités sociales" display="Ouvrir la feuille" xr:uid="{00000000-0004-0000-0000-00000A000000}"/>
    <hyperlink ref="B15" location="#'Évolution mensuelle'!A1" tooltip="Aller vers Évolution mensuelle" display="Ouvrir la feuille" xr:uid="{00000000-0004-0000-0000-00000B000000}"/>
    <hyperlink ref="B16" location="#'Tableaux de synthèse'!A1" tooltip="Aller vers Tableaux de synthèse" display="Ouvrir la feuille" xr:uid="{00000000-0004-0000-0000-00000C000000}"/>
    <hyperlink ref="B17" location="#'Dashboard'!A1" tooltip="Aller vers Dashboard" display="Ouvrir la feuille" xr:uid="{00000000-0004-0000-0000-00000D00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24" customWidth="1"/>
    <col min="2" max="4" width="14" customWidth="1"/>
  </cols>
  <sheetData>
    <row r="1" spans="1:6" s="4" customFormat="1" ht="21.95" customHeight="1" x14ac:dyDescent="0.25">
      <c r="A1" s="5" t="s">
        <v>19</v>
      </c>
      <c r="B1" s="5" t="s">
        <v>20</v>
      </c>
      <c r="C1" s="5" t="s">
        <v>21</v>
      </c>
      <c r="D1" s="5" t="s">
        <v>22</v>
      </c>
      <c r="F1" s="6" t="s">
        <v>23</v>
      </c>
    </row>
    <row r="2" spans="1:6" x14ac:dyDescent="0.25">
      <c r="A2" s="7" t="s">
        <v>24</v>
      </c>
      <c r="B2" s="7">
        <v>12</v>
      </c>
      <c r="C2" s="7">
        <v>4</v>
      </c>
      <c r="D2" s="8">
        <f>SUM(B2,C2)</f>
        <v>16</v>
      </c>
    </row>
    <row r="3" spans="1:6" x14ac:dyDescent="0.25">
      <c r="A3" s="7" t="s">
        <v>26</v>
      </c>
      <c r="B3" s="7">
        <v>10</v>
      </c>
      <c r="C3" s="7">
        <v>4</v>
      </c>
      <c r="D3" s="8">
        <f>SUM(B3,C3)</f>
        <v>14</v>
      </c>
    </row>
    <row r="4" spans="1:6" x14ac:dyDescent="0.25">
      <c r="A4" s="7" t="s">
        <v>27</v>
      </c>
      <c r="B4" s="7">
        <v>1</v>
      </c>
      <c r="C4" s="7">
        <v>6</v>
      </c>
      <c r="D4" s="8">
        <f>SUM(B4,C4)</f>
        <v>7</v>
      </c>
    </row>
    <row r="5" spans="1:6" x14ac:dyDescent="0.25">
      <c r="A5" s="7" t="s">
        <v>28</v>
      </c>
      <c r="B5" s="7">
        <v>2</v>
      </c>
      <c r="C5" s="7">
        <v>2</v>
      </c>
      <c r="D5" s="8">
        <f>SUM(B5,C5)</f>
        <v>4</v>
      </c>
    </row>
    <row r="6" spans="1:6" s="9" customFormat="1" x14ac:dyDescent="0.25">
      <c r="A6" s="10" t="s">
        <v>29</v>
      </c>
      <c r="B6" s="11">
        <f>SUM(B2:B5)</f>
        <v>25</v>
      </c>
      <c r="C6" s="11">
        <f>SUM(C2:C5)</f>
        <v>16</v>
      </c>
      <c r="D6" s="11">
        <f>SUM(D2:D5)</f>
        <v>41</v>
      </c>
    </row>
  </sheetData>
  <autoFilter ref="A1:D1" xr:uid="{00000000-0009-0000-0000-000001000000}"/>
  <hyperlinks>
    <hyperlink ref="F1" location="#'Sommaire'!A1" tooltip="Revenir au sommaire" display="Retour au sommaire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workbookViewId="0">
      <pane ySplit="1" topLeftCell="A2" activePane="bottomLeft" state="frozen"/>
      <selection pane="bottomLeft" activeCell="B4" sqref="B4"/>
    </sheetView>
  </sheetViews>
  <sheetFormatPr baseColWidth="10" defaultColWidth="9.140625" defaultRowHeight="15" x14ac:dyDescent="0.25"/>
  <cols>
    <col min="1" max="1" width="24" customWidth="1"/>
    <col min="2" max="4" width="14" customWidth="1"/>
    <col min="5" max="5" width="17" customWidth="1"/>
    <col min="6" max="8" width="14" customWidth="1"/>
  </cols>
  <sheetData>
    <row r="1" spans="1:10" s="4" customFormat="1" ht="21.95" customHeight="1" x14ac:dyDescent="0.25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22</v>
      </c>
      <c r="G1" s="5" t="s">
        <v>35</v>
      </c>
      <c r="H1" s="5" t="s">
        <v>36</v>
      </c>
      <c r="J1" s="6" t="s">
        <v>23</v>
      </c>
    </row>
    <row r="2" spans="1:10" x14ac:dyDescent="0.25">
      <c r="A2" s="7" t="s">
        <v>37</v>
      </c>
      <c r="B2" s="7">
        <v>12</v>
      </c>
      <c r="C2" s="7">
        <v>23</v>
      </c>
      <c r="D2" s="7"/>
      <c r="E2" s="7"/>
      <c r="F2" s="7">
        <f>SUM(B2:E2)</f>
        <v>35</v>
      </c>
      <c r="G2" s="7"/>
      <c r="H2" s="8"/>
    </row>
    <row r="3" spans="1:10" x14ac:dyDescent="0.25">
      <c r="A3" s="7" t="s">
        <v>38</v>
      </c>
      <c r="B3" s="7"/>
      <c r="C3" s="7">
        <v>12</v>
      </c>
      <c r="D3" s="7"/>
      <c r="E3" s="7"/>
      <c r="F3" s="7">
        <f t="shared" ref="F3:F6" si="0">SUM(B3:E3)</f>
        <v>12</v>
      </c>
      <c r="G3" s="7"/>
      <c r="H3" s="8"/>
    </row>
    <row r="4" spans="1:10" x14ac:dyDescent="0.25">
      <c r="A4" s="7" t="s">
        <v>39</v>
      </c>
      <c r="B4" s="7"/>
      <c r="C4" s="7"/>
      <c r="D4" s="7"/>
      <c r="E4" s="7"/>
      <c r="F4" s="7">
        <f t="shared" si="0"/>
        <v>0</v>
      </c>
      <c r="G4" s="7"/>
      <c r="H4" s="8"/>
    </row>
    <row r="5" spans="1:10" x14ac:dyDescent="0.25">
      <c r="A5" s="7" t="s">
        <v>40</v>
      </c>
      <c r="B5" s="7"/>
      <c r="C5" s="7"/>
      <c r="D5" s="7"/>
      <c r="E5" s="7"/>
      <c r="F5" s="7">
        <f t="shared" si="0"/>
        <v>0</v>
      </c>
      <c r="G5" s="7"/>
      <c r="H5" s="8"/>
    </row>
    <row r="6" spans="1:10" x14ac:dyDescent="0.25">
      <c r="A6" s="7" t="s">
        <v>41</v>
      </c>
      <c r="B6" s="7"/>
      <c r="C6" s="7"/>
      <c r="D6" s="7"/>
      <c r="E6" s="7"/>
      <c r="F6" s="7">
        <f t="shared" si="0"/>
        <v>0</v>
      </c>
      <c r="G6" s="7"/>
      <c r="H6" s="8"/>
    </row>
    <row r="7" spans="1:10" s="9" customFormat="1" x14ac:dyDescent="0.25">
      <c r="A7" s="10" t="s">
        <v>22</v>
      </c>
      <c r="B7" s="11">
        <f t="shared" ref="B7:H7" si="1">SUM(B2:B6)</f>
        <v>12</v>
      </c>
      <c r="C7" s="11">
        <f t="shared" si="1"/>
        <v>35</v>
      </c>
      <c r="D7" s="11">
        <f t="shared" si="1"/>
        <v>0</v>
      </c>
      <c r="E7" s="11">
        <f t="shared" si="1"/>
        <v>0</v>
      </c>
      <c r="F7" s="11">
        <f t="shared" si="1"/>
        <v>47</v>
      </c>
      <c r="G7" s="11">
        <f t="shared" si="1"/>
        <v>0</v>
      </c>
      <c r="H7" s="11">
        <f t="shared" si="1"/>
        <v>0</v>
      </c>
    </row>
  </sheetData>
  <autoFilter ref="A1:H1" xr:uid="{00000000-0009-0000-0000-000002000000}"/>
  <hyperlinks>
    <hyperlink ref="J1" location="#'Sommaire'!A1" tooltip="Revenir au sommaire" display="Retour au sommaire" xr:uid="{00000000-0004-0000-0200-000000000000}"/>
  </hyperlink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"/>
  <sheetViews>
    <sheetView topLeftCell="CM1" workbookViewId="0">
      <pane ySplit="1" topLeftCell="A2" activePane="bottomLeft" state="frozen"/>
      <selection pane="bottomLeft" activeCell="B2" sqref="B2:E3"/>
    </sheetView>
  </sheetViews>
  <sheetFormatPr baseColWidth="10" defaultColWidth="9.140625" defaultRowHeight="15" x14ac:dyDescent="0.25"/>
  <cols>
    <col min="1" max="1" width="24" customWidth="1"/>
    <col min="2" max="4" width="14" customWidth="1"/>
    <col min="5" max="5" width="17" customWidth="1"/>
    <col min="6" max="6" width="14" customWidth="1"/>
  </cols>
  <sheetData>
    <row r="1" spans="1:8" s="4" customFormat="1" ht="21.95" customHeight="1" x14ac:dyDescent="0.25">
      <c r="A1" s="5" t="s">
        <v>42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22</v>
      </c>
      <c r="H1" s="6" t="s">
        <v>23</v>
      </c>
    </row>
    <row r="2" spans="1:8" x14ac:dyDescent="0.25">
      <c r="A2" s="7" t="s">
        <v>43</v>
      </c>
      <c r="B2" s="7"/>
      <c r="C2" s="7"/>
      <c r="D2" s="7"/>
      <c r="E2" s="7"/>
      <c r="F2" s="8">
        <f>SUM(B2,C2,D2,E2)</f>
        <v>0</v>
      </c>
    </row>
    <row r="3" spans="1:8" x14ac:dyDescent="0.25">
      <c r="A3" s="7" t="s">
        <v>44</v>
      </c>
      <c r="B3" s="7"/>
      <c r="C3" s="7"/>
      <c r="D3" s="7"/>
      <c r="E3" s="7"/>
      <c r="F3" s="8">
        <f>SUM(B3,C3,D3,E3)</f>
        <v>0</v>
      </c>
    </row>
    <row r="4" spans="1:8" s="9" customFormat="1" x14ac:dyDescent="0.25">
      <c r="A4" s="10" t="s">
        <v>45</v>
      </c>
      <c r="B4" s="11">
        <f>SUM(B2:B3)</f>
        <v>0</v>
      </c>
      <c r="C4" s="11">
        <f>SUM(C2:C3)</f>
        <v>0</v>
      </c>
      <c r="D4" s="11">
        <f>SUM(D2:D3)</f>
        <v>0</v>
      </c>
      <c r="E4" s="11">
        <f>SUM(E2:E3)</f>
        <v>0</v>
      </c>
      <c r="F4" s="11">
        <f>SUM(F2:F3)</f>
        <v>0</v>
      </c>
    </row>
  </sheetData>
  <autoFilter ref="A1:F1" xr:uid="{00000000-0009-0000-0000-000003000000}"/>
  <hyperlinks>
    <hyperlink ref="H1" location="#'Sommaire'!A1" tooltip="Revenir au sommaire" display="Retour au sommaire" xr:uid="{00000000-0004-0000-0300-000000000000}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pane ySplit="1" topLeftCell="A2" activePane="bottomLeft" state="frozen"/>
      <selection pane="bottomLeft" activeCell="B2" sqref="B2:E6"/>
    </sheetView>
  </sheetViews>
  <sheetFormatPr baseColWidth="10" defaultColWidth="9.140625" defaultRowHeight="15" x14ac:dyDescent="0.25"/>
  <cols>
    <col min="1" max="1" width="24" customWidth="1"/>
    <col min="2" max="4" width="14" customWidth="1"/>
    <col min="5" max="5" width="17" customWidth="1"/>
    <col min="6" max="6" width="14" customWidth="1"/>
  </cols>
  <sheetData>
    <row r="1" spans="1:8" s="4" customFormat="1" ht="21.95" customHeight="1" x14ac:dyDescent="0.25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22</v>
      </c>
      <c r="H1" s="6" t="s">
        <v>23</v>
      </c>
    </row>
    <row r="2" spans="1:8" x14ac:dyDescent="0.25">
      <c r="A2" s="7" t="s">
        <v>46</v>
      </c>
      <c r="B2" s="7"/>
      <c r="C2" s="7"/>
      <c r="D2" s="7"/>
      <c r="E2" s="7"/>
      <c r="F2" s="8">
        <f>SUM(B2,C2,D2,E2)</f>
        <v>0</v>
      </c>
    </row>
    <row r="3" spans="1:8" x14ac:dyDescent="0.25">
      <c r="A3" s="7" t="s">
        <v>47</v>
      </c>
      <c r="B3" s="7"/>
      <c r="C3" s="7"/>
      <c r="D3" s="7"/>
      <c r="E3" s="7"/>
      <c r="F3" s="8">
        <f>SUM(B3,C3,D3,E3)</f>
        <v>0</v>
      </c>
    </row>
    <row r="4" spans="1:8" x14ac:dyDescent="0.25">
      <c r="A4" s="7" t="s">
        <v>48</v>
      </c>
      <c r="B4" s="7"/>
      <c r="C4" s="7"/>
      <c r="D4" s="7"/>
      <c r="E4" s="7"/>
      <c r="F4" s="8">
        <f>SUM(B4,C4,D4,E4)</f>
        <v>0</v>
      </c>
    </row>
    <row r="5" spans="1:8" x14ac:dyDescent="0.25">
      <c r="A5" s="7" t="s">
        <v>49</v>
      </c>
      <c r="B5" s="7"/>
      <c r="C5" s="7"/>
      <c r="D5" s="7"/>
      <c r="E5" s="7"/>
      <c r="F5" s="8">
        <f>SUM(B5,C5,D5,E5)</f>
        <v>0</v>
      </c>
    </row>
    <row r="6" spans="1:8" x14ac:dyDescent="0.25">
      <c r="A6" s="7" t="s">
        <v>50</v>
      </c>
      <c r="B6" s="7"/>
      <c r="C6" s="7"/>
      <c r="D6" s="7"/>
      <c r="E6" s="7"/>
      <c r="F6" s="8">
        <f>SUM(B6,C6,D6,E6)</f>
        <v>0</v>
      </c>
    </row>
    <row r="7" spans="1:8" s="9" customFormat="1" x14ac:dyDescent="0.25">
      <c r="A7" s="10" t="s">
        <v>22</v>
      </c>
      <c r="B7" s="11">
        <f>SUM(B2:B6)</f>
        <v>0</v>
      </c>
      <c r="C7" s="11">
        <f>SUM(C2:C6)</f>
        <v>0</v>
      </c>
      <c r="D7" s="11">
        <f>SUM(D2:D6)</f>
        <v>0</v>
      </c>
      <c r="E7" s="11">
        <f>SUM(E2:E6)</f>
        <v>0</v>
      </c>
      <c r="F7" s="11">
        <f>SUM(F2:F6)</f>
        <v>0</v>
      </c>
    </row>
  </sheetData>
  <autoFilter ref="A1:F1" xr:uid="{00000000-0009-0000-0000-000004000000}"/>
  <hyperlinks>
    <hyperlink ref="H1" location="#'Sommaire'!A1" tooltip="Revenir au sommaire" display="Retour au sommaire" xr:uid="{00000000-0004-0000-0400-000000000000}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pane ySplit="1" topLeftCell="A2" activePane="bottomLeft" state="frozen"/>
      <selection pane="bottomLeft" activeCell="B2" sqref="B2:E4"/>
    </sheetView>
  </sheetViews>
  <sheetFormatPr baseColWidth="10" defaultColWidth="9.140625" defaultRowHeight="15" x14ac:dyDescent="0.25"/>
  <cols>
    <col min="1" max="1" width="24" customWidth="1"/>
    <col min="2" max="4" width="14" customWidth="1"/>
    <col min="5" max="5" width="17" customWidth="1"/>
    <col min="6" max="6" width="14" customWidth="1"/>
  </cols>
  <sheetData>
    <row r="1" spans="1:8" s="4" customFormat="1" ht="21.95" customHeight="1" x14ac:dyDescent="0.25">
      <c r="A1" s="5" t="s">
        <v>51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22</v>
      </c>
      <c r="H1" s="6" t="s">
        <v>23</v>
      </c>
    </row>
    <row r="2" spans="1:8" x14ac:dyDescent="0.25">
      <c r="A2" s="7" t="s">
        <v>52</v>
      </c>
      <c r="B2" s="7"/>
      <c r="C2" s="7"/>
      <c r="D2" s="7"/>
      <c r="E2" s="7"/>
      <c r="F2" s="8">
        <f>SUM(B2,C2,D2,E2)</f>
        <v>0</v>
      </c>
    </row>
    <row r="3" spans="1:8" x14ac:dyDescent="0.25">
      <c r="A3" s="7" t="s">
        <v>53</v>
      </c>
      <c r="B3" s="7"/>
      <c r="C3" s="7"/>
      <c r="D3" s="7"/>
      <c r="E3" s="7"/>
      <c r="F3" s="8">
        <f>SUM(B3,C3,D3,E3)</f>
        <v>0</v>
      </c>
    </row>
    <row r="4" spans="1:8" x14ac:dyDescent="0.25">
      <c r="A4" s="7" t="s">
        <v>54</v>
      </c>
      <c r="B4" s="7"/>
      <c r="C4" s="7"/>
      <c r="D4" s="7"/>
      <c r="E4" s="7"/>
      <c r="F4" s="8">
        <f>SUM(B4,C4,D4,E4)</f>
        <v>0</v>
      </c>
    </row>
    <row r="5" spans="1:8" s="9" customFormat="1" x14ac:dyDescent="0.25">
      <c r="A5" s="10" t="s">
        <v>22</v>
      </c>
      <c r="B5" s="11">
        <f>SUM(B2:B4)</f>
        <v>0</v>
      </c>
      <c r="C5" s="11">
        <f>SUM(C2:C4)</f>
        <v>0</v>
      </c>
      <c r="D5" s="11">
        <f>SUM(D2:D4)</f>
        <v>0</v>
      </c>
      <c r="E5" s="11">
        <f>SUM(E2:E4)</f>
        <v>0</v>
      </c>
      <c r="F5" s="11">
        <f>SUM(F2:F4)</f>
        <v>0</v>
      </c>
    </row>
  </sheetData>
  <autoFilter ref="A1:F1" xr:uid="{00000000-0009-0000-0000-000005000000}"/>
  <hyperlinks>
    <hyperlink ref="H1" location="#'Sommaire'!A1" tooltip="Revenir au sommaire" display="Retour au sommaire" xr:uid="{00000000-0004-0000-0500-000000000000}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 activeCell="B2" sqref="B2:B4"/>
    </sheetView>
  </sheetViews>
  <sheetFormatPr baseColWidth="10" defaultColWidth="9.140625" defaultRowHeight="15" x14ac:dyDescent="0.25"/>
  <cols>
    <col min="1" max="1" width="24" customWidth="1"/>
    <col min="2" max="4" width="14" customWidth="1"/>
    <col min="5" max="5" width="17" customWidth="1"/>
    <col min="6" max="6" width="14" customWidth="1"/>
  </cols>
  <sheetData>
    <row r="1" spans="1:8" s="4" customFormat="1" ht="21.95" customHeight="1" x14ac:dyDescent="0.25">
      <c r="A1" s="5" t="s">
        <v>55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22</v>
      </c>
      <c r="H1" s="6" t="s">
        <v>23</v>
      </c>
    </row>
    <row r="2" spans="1:8" x14ac:dyDescent="0.25">
      <c r="A2" s="7" t="s">
        <v>56</v>
      </c>
      <c r="B2" s="7"/>
      <c r="C2" s="7" t="s">
        <v>25</v>
      </c>
      <c r="D2" s="7" t="s">
        <v>25</v>
      </c>
      <c r="E2" s="7" t="s">
        <v>25</v>
      </c>
      <c r="F2" s="8">
        <f>SUM(B2,C2,D2,E2)</f>
        <v>0</v>
      </c>
    </row>
    <row r="3" spans="1:8" x14ac:dyDescent="0.25">
      <c r="A3" s="7" t="s">
        <v>57</v>
      </c>
      <c r="B3" s="7"/>
      <c r="C3" s="7" t="s">
        <v>25</v>
      </c>
      <c r="D3" s="7" t="s">
        <v>25</v>
      </c>
      <c r="E3" s="7" t="s">
        <v>25</v>
      </c>
      <c r="F3" s="8">
        <f>SUM(B3,C3,D3,E3)</f>
        <v>0</v>
      </c>
    </row>
    <row r="4" spans="1:8" x14ac:dyDescent="0.25">
      <c r="A4" s="7" t="s">
        <v>58</v>
      </c>
      <c r="B4" s="7"/>
      <c r="C4" s="7" t="s">
        <v>25</v>
      </c>
      <c r="D4" s="7" t="s">
        <v>25</v>
      </c>
      <c r="E4" s="7" t="s">
        <v>25</v>
      </c>
      <c r="F4" s="8">
        <f>SUM(B4,C4,D4,E4)</f>
        <v>0</v>
      </c>
    </row>
    <row r="5" spans="1:8" x14ac:dyDescent="0.25">
      <c r="A5" s="7" t="s">
        <v>59</v>
      </c>
      <c r="B5" s="7" t="s">
        <v>25</v>
      </c>
      <c r="C5" s="7" t="s">
        <v>25</v>
      </c>
      <c r="D5" s="7" t="s">
        <v>25</v>
      </c>
      <c r="E5" s="7" t="s">
        <v>25</v>
      </c>
      <c r="F5" s="8">
        <f>SUM(B5,C5,D5,E5)</f>
        <v>0</v>
      </c>
    </row>
    <row r="6" spans="1:8" x14ac:dyDescent="0.25">
      <c r="A6" s="7" t="s">
        <v>60</v>
      </c>
      <c r="B6" s="7" t="s">
        <v>25</v>
      </c>
      <c r="C6" s="7" t="s">
        <v>25</v>
      </c>
      <c r="D6" s="7" t="s">
        <v>25</v>
      </c>
      <c r="E6" s="7" t="s">
        <v>25</v>
      </c>
      <c r="F6" s="8">
        <f>SUM(B6,C6,D6,E6)</f>
        <v>0</v>
      </c>
    </row>
    <row r="7" spans="1:8" s="9" customFormat="1" x14ac:dyDescent="0.25">
      <c r="A7" s="10" t="s">
        <v>22</v>
      </c>
      <c r="B7" s="11">
        <f>SUM(B2:B6)</f>
        <v>0</v>
      </c>
      <c r="C7" s="11">
        <f>SUM(C2:C6)</f>
        <v>0</v>
      </c>
      <c r="D7" s="11">
        <f>SUM(D2:D6)</f>
        <v>0</v>
      </c>
      <c r="E7" s="11">
        <f>SUM(E2:E6)</f>
        <v>0</v>
      </c>
      <c r="F7" s="11">
        <f>SUM(F2:F6)</f>
        <v>0</v>
      </c>
    </row>
  </sheetData>
  <autoFilter ref="A1:F1" xr:uid="{00000000-0009-0000-0000-000006000000}"/>
  <hyperlinks>
    <hyperlink ref="H1" location="#'Sommaire'!A1" tooltip="Revenir au sommaire" display="Retour au sommaire" xr:uid="{00000000-0004-0000-0600-000000000000}"/>
  </hyperlink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workbookViewId="0">
      <pane ySplit="1" topLeftCell="A2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4" customWidth="1"/>
    <col min="2" max="2" width="26" customWidth="1"/>
    <col min="3" max="5" width="14" customWidth="1"/>
    <col min="6" max="6" width="17" customWidth="1"/>
    <col min="7" max="7" width="14" customWidth="1"/>
  </cols>
  <sheetData>
    <row r="1" spans="1:9" s="4" customFormat="1" ht="21.95" customHeight="1" x14ac:dyDescent="0.25">
      <c r="A1" s="5" t="s">
        <v>61</v>
      </c>
      <c r="B1" s="5" t="s">
        <v>62</v>
      </c>
      <c r="C1" s="5" t="s">
        <v>31</v>
      </c>
      <c r="D1" s="5" t="s">
        <v>32</v>
      </c>
      <c r="E1" s="5" t="s">
        <v>33</v>
      </c>
      <c r="F1" s="5" t="s">
        <v>34</v>
      </c>
      <c r="G1" s="5" t="s">
        <v>22</v>
      </c>
      <c r="I1" s="6" t="s">
        <v>23</v>
      </c>
    </row>
    <row r="2" spans="1:9" x14ac:dyDescent="0.25">
      <c r="A2" s="7" t="s">
        <v>63</v>
      </c>
      <c r="B2" s="7" t="s">
        <v>64</v>
      </c>
      <c r="C2" s="7" t="s">
        <v>25</v>
      </c>
      <c r="D2" s="8" t="s">
        <v>65</v>
      </c>
      <c r="E2" s="8" t="s">
        <v>65</v>
      </c>
      <c r="F2" s="8" t="s">
        <v>65</v>
      </c>
      <c r="G2" s="8">
        <f t="shared" ref="G2:G8" si="0">SUM(C2,D2,E2,F2)</f>
        <v>0</v>
      </c>
    </row>
    <row r="3" spans="1:9" x14ac:dyDescent="0.25">
      <c r="A3" s="7" t="s">
        <v>66</v>
      </c>
      <c r="B3" s="7" t="s">
        <v>67</v>
      </c>
      <c r="C3" s="8"/>
      <c r="D3" s="7" t="s">
        <v>25</v>
      </c>
      <c r="E3" s="7" t="s">
        <v>25</v>
      </c>
      <c r="F3" s="7" t="s">
        <v>25</v>
      </c>
      <c r="G3" s="8">
        <f t="shared" si="0"/>
        <v>0</v>
      </c>
    </row>
    <row r="4" spans="1:9" x14ac:dyDescent="0.25">
      <c r="A4" s="7" t="s">
        <v>68</v>
      </c>
      <c r="B4" s="7" t="s">
        <v>69</v>
      </c>
      <c r="C4" s="8" t="s">
        <v>65</v>
      </c>
      <c r="D4" s="8" t="s">
        <v>65</v>
      </c>
      <c r="E4" s="7" t="s">
        <v>25</v>
      </c>
      <c r="F4" s="7" t="s">
        <v>25</v>
      </c>
      <c r="G4" s="8">
        <f t="shared" si="0"/>
        <v>0</v>
      </c>
    </row>
    <row r="5" spans="1:9" x14ac:dyDescent="0.25">
      <c r="A5" s="7" t="s">
        <v>70</v>
      </c>
      <c r="B5" s="7" t="s">
        <v>69</v>
      </c>
      <c r="C5" s="8" t="s">
        <v>65</v>
      </c>
      <c r="D5" s="8" t="s">
        <v>65</v>
      </c>
      <c r="E5" s="7" t="s">
        <v>25</v>
      </c>
      <c r="F5" s="7" t="s">
        <v>25</v>
      </c>
      <c r="G5" s="8">
        <f t="shared" si="0"/>
        <v>0</v>
      </c>
    </row>
    <row r="6" spans="1:9" x14ac:dyDescent="0.25">
      <c r="A6" s="7" t="s">
        <v>71</v>
      </c>
      <c r="B6" s="7" t="s">
        <v>72</v>
      </c>
      <c r="C6" s="7" t="s">
        <v>25</v>
      </c>
      <c r="D6" s="7" t="s">
        <v>25</v>
      </c>
      <c r="E6" s="7" t="s">
        <v>25</v>
      </c>
      <c r="F6" s="7" t="s">
        <v>25</v>
      </c>
      <c r="G6" s="8">
        <f t="shared" si="0"/>
        <v>0</v>
      </c>
    </row>
    <row r="7" spans="1:9" x14ac:dyDescent="0.25">
      <c r="A7" s="7" t="s">
        <v>73</v>
      </c>
      <c r="B7" s="7" t="s">
        <v>74</v>
      </c>
      <c r="C7" s="8" t="s">
        <v>65</v>
      </c>
      <c r="D7" s="7" t="s">
        <v>25</v>
      </c>
      <c r="E7" s="7" t="s">
        <v>25</v>
      </c>
      <c r="F7" s="7" t="s">
        <v>25</v>
      </c>
      <c r="G7" s="8">
        <f t="shared" si="0"/>
        <v>0</v>
      </c>
    </row>
    <row r="8" spans="1:9" x14ac:dyDescent="0.25">
      <c r="A8" s="7" t="s">
        <v>75</v>
      </c>
      <c r="B8" s="7" t="s">
        <v>76</v>
      </c>
      <c r="C8" s="7" t="s">
        <v>25</v>
      </c>
      <c r="D8" s="7" t="s">
        <v>25</v>
      </c>
      <c r="E8" s="7" t="s">
        <v>25</v>
      </c>
      <c r="F8" s="7" t="s">
        <v>25</v>
      </c>
      <c r="G8" s="8">
        <f t="shared" si="0"/>
        <v>0</v>
      </c>
    </row>
    <row r="9" spans="1:9" s="9" customFormat="1" x14ac:dyDescent="0.25">
      <c r="A9" s="10" t="s">
        <v>22</v>
      </c>
      <c r="B9" s="10" t="s">
        <v>25</v>
      </c>
      <c r="C9" s="11">
        <f>SUM(C2:C8)</f>
        <v>0</v>
      </c>
      <c r="D9" s="11">
        <f>SUM(D2:D8)</f>
        <v>0</v>
      </c>
      <c r="E9" s="11">
        <f>SUM(E2:E8)</f>
        <v>0</v>
      </c>
      <c r="F9" s="11">
        <f>SUM(F2:F8)</f>
        <v>0</v>
      </c>
      <c r="G9" s="11">
        <f>SUM(G2:G8)</f>
        <v>0</v>
      </c>
    </row>
  </sheetData>
  <autoFilter ref="A1:G1" xr:uid="{00000000-0009-0000-0000-000007000000}"/>
  <hyperlinks>
    <hyperlink ref="I1" location="#'Sommaire'!A1" tooltip="Revenir au sommaire" display="Retour au sommaire" xr:uid="{00000000-0004-0000-0700-000000000000}"/>
  </hyperlink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4"/>
  <sheetViews>
    <sheetView workbookViewId="0">
      <pane ySplit="1" topLeftCell="A2" activePane="bottomLeft" state="frozen"/>
      <selection pane="bottomLeft" activeCell="B2" sqref="B2:E12"/>
    </sheetView>
  </sheetViews>
  <sheetFormatPr baseColWidth="10" defaultColWidth="9.140625" defaultRowHeight="15" x14ac:dyDescent="0.25"/>
  <cols>
    <col min="1" max="1" width="24" customWidth="1"/>
    <col min="2" max="4" width="14" customWidth="1"/>
    <col min="5" max="5" width="17" customWidth="1"/>
    <col min="6" max="6" width="14" customWidth="1"/>
  </cols>
  <sheetData>
    <row r="1" spans="1:8" s="4" customFormat="1" ht="21.95" customHeight="1" x14ac:dyDescent="0.25">
      <c r="A1" s="5" t="s">
        <v>77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22</v>
      </c>
      <c r="H1" s="6" t="s">
        <v>23</v>
      </c>
    </row>
    <row r="2" spans="1:8" x14ac:dyDescent="0.25">
      <c r="A2" s="7" t="s">
        <v>78</v>
      </c>
      <c r="B2" s="7"/>
      <c r="C2" s="7"/>
      <c r="D2" s="7"/>
      <c r="E2" s="7"/>
      <c r="F2" s="8">
        <f t="shared" ref="F2:F13" si="0">SUM(B2,C2,D2,E2)</f>
        <v>0</v>
      </c>
    </row>
    <row r="3" spans="1:8" x14ac:dyDescent="0.25">
      <c r="A3" s="7" t="s">
        <v>79</v>
      </c>
      <c r="B3" s="7"/>
      <c r="C3" s="7"/>
      <c r="D3" s="7"/>
      <c r="E3" s="7"/>
      <c r="F3" s="8">
        <f t="shared" si="0"/>
        <v>0</v>
      </c>
    </row>
    <row r="4" spans="1:8" x14ac:dyDescent="0.25">
      <c r="A4" s="7" t="s">
        <v>80</v>
      </c>
      <c r="B4" s="7"/>
      <c r="C4" s="7"/>
      <c r="D4" s="7"/>
      <c r="E4" s="7"/>
      <c r="F4" s="8">
        <f t="shared" si="0"/>
        <v>0</v>
      </c>
    </row>
    <row r="5" spans="1:8" x14ac:dyDescent="0.25">
      <c r="A5" s="7" t="s">
        <v>81</v>
      </c>
      <c r="B5" s="7"/>
      <c r="C5" s="7"/>
      <c r="D5" s="7"/>
      <c r="E5" s="7"/>
      <c r="F5" s="8">
        <f t="shared" si="0"/>
        <v>0</v>
      </c>
    </row>
    <row r="6" spans="1:8" x14ac:dyDescent="0.25">
      <c r="A6" s="7" t="s">
        <v>82</v>
      </c>
      <c r="B6" s="7"/>
      <c r="C6" s="7"/>
      <c r="D6" s="7"/>
      <c r="E6" s="7"/>
      <c r="F6" s="8">
        <f t="shared" si="0"/>
        <v>0</v>
      </c>
    </row>
    <row r="7" spans="1:8" x14ac:dyDescent="0.25">
      <c r="A7" s="7" t="s">
        <v>83</v>
      </c>
      <c r="B7" s="7"/>
      <c r="C7" s="7"/>
      <c r="D7" s="7"/>
      <c r="E7" s="7"/>
      <c r="F7" s="8">
        <f t="shared" si="0"/>
        <v>0</v>
      </c>
    </row>
    <row r="8" spans="1:8" x14ac:dyDescent="0.25">
      <c r="A8" s="7" t="s">
        <v>84</v>
      </c>
      <c r="B8" s="7"/>
      <c r="C8" s="7"/>
      <c r="D8" s="7"/>
      <c r="E8" s="7"/>
      <c r="F8" s="8">
        <f t="shared" si="0"/>
        <v>0</v>
      </c>
    </row>
    <row r="9" spans="1:8" x14ac:dyDescent="0.25">
      <c r="A9" s="7" t="s">
        <v>85</v>
      </c>
      <c r="B9" s="7"/>
      <c r="C9" s="7"/>
      <c r="D9" s="7"/>
      <c r="E9" s="7"/>
      <c r="F9" s="8">
        <f t="shared" si="0"/>
        <v>0</v>
      </c>
    </row>
    <row r="10" spans="1:8" x14ac:dyDescent="0.25">
      <c r="A10" s="7" t="s">
        <v>86</v>
      </c>
      <c r="B10" s="7"/>
      <c r="C10" s="7"/>
      <c r="D10" s="7"/>
      <c r="E10" s="7"/>
      <c r="F10" s="8">
        <f t="shared" si="0"/>
        <v>0</v>
      </c>
    </row>
    <row r="11" spans="1:8" x14ac:dyDescent="0.25">
      <c r="A11" s="7" t="s">
        <v>87</v>
      </c>
      <c r="B11" s="7"/>
      <c r="C11" s="7"/>
      <c r="D11" s="7"/>
      <c r="E11" s="7"/>
      <c r="F11" s="8">
        <f t="shared" si="0"/>
        <v>0</v>
      </c>
    </row>
    <row r="12" spans="1:8" x14ac:dyDescent="0.25">
      <c r="A12" s="7" t="s">
        <v>88</v>
      </c>
      <c r="B12" s="7"/>
      <c r="C12" s="7"/>
      <c r="D12" s="7"/>
      <c r="E12" s="7"/>
      <c r="F12" s="8">
        <f t="shared" si="0"/>
        <v>0</v>
      </c>
    </row>
    <row r="13" spans="1:8" x14ac:dyDescent="0.25">
      <c r="A13" s="7" t="s">
        <v>89</v>
      </c>
      <c r="B13" s="7" t="s">
        <v>25</v>
      </c>
      <c r="C13" s="7" t="s">
        <v>25</v>
      </c>
      <c r="D13" s="7" t="s">
        <v>25</v>
      </c>
      <c r="E13" s="7" t="s">
        <v>25</v>
      </c>
      <c r="F13" s="8">
        <f t="shared" si="0"/>
        <v>0</v>
      </c>
    </row>
    <row r="14" spans="1:8" s="9" customFormat="1" x14ac:dyDescent="0.25">
      <c r="A14" s="10" t="s">
        <v>22</v>
      </c>
      <c r="B14" s="11">
        <f>SUM(B2:B13)</f>
        <v>0</v>
      </c>
      <c r="C14" s="11">
        <f>SUM(C2:C13)</f>
        <v>0</v>
      </c>
      <c r="D14" s="11">
        <f>SUM(D2:D13)</f>
        <v>0</v>
      </c>
      <c r="E14" s="11">
        <f>SUM(E2:E13)</f>
        <v>0</v>
      </c>
      <c r="F14" s="11">
        <f>SUM(F2:F13)</f>
        <v>0</v>
      </c>
    </row>
  </sheetData>
  <autoFilter ref="A1:F1" xr:uid="{00000000-0009-0000-0000-000008000000}"/>
  <hyperlinks>
    <hyperlink ref="H1" location="#'Sommaire'!A1" tooltip="Revenir au sommaire" display="Retour au sommaire" xr:uid="{00000000-0004-0000-0800-000000000000}"/>
  </hyperlink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3" customWidth="1"/>
    <col min="2" max="4" width="14" customWidth="1"/>
    <col min="5" max="5" width="17" customWidth="1"/>
    <col min="6" max="6" width="14" customWidth="1"/>
  </cols>
  <sheetData>
    <row r="1" spans="1:8" s="4" customFormat="1" ht="21.95" customHeight="1" x14ac:dyDescent="0.25">
      <c r="A1" s="5" t="s">
        <v>62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22</v>
      </c>
      <c r="H1" s="6" t="s">
        <v>23</v>
      </c>
    </row>
    <row r="2" spans="1:8" x14ac:dyDescent="0.25">
      <c r="A2" s="7" t="s">
        <v>90</v>
      </c>
      <c r="B2" s="7" t="s">
        <v>25</v>
      </c>
      <c r="C2" s="7" t="s">
        <v>25</v>
      </c>
      <c r="D2" s="7" t="s">
        <v>25</v>
      </c>
      <c r="E2" s="7" t="s">
        <v>25</v>
      </c>
      <c r="F2" s="8">
        <f>SUM(B2,C2,D2,E2)</f>
        <v>0</v>
      </c>
    </row>
    <row r="3" spans="1:8" x14ac:dyDescent="0.25">
      <c r="A3" s="7" t="s">
        <v>91</v>
      </c>
      <c r="B3" s="7" t="s">
        <v>25</v>
      </c>
      <c r="C3" s="7" t="s">
        <v>25</v>
      </c>
      <c r="D3" s="7" t="s">
        <v>25</v>
      </c>
      <c r="E3" s="7" t="s">
        <v>25</v>
      </c>
      <c r="F3" s="8">
        <f>SUM(B3,C3,D3,E3)</f>
        <v>0</v>
      </c>
    </row>
    <row r="4" spans="1:8" x14ac:dyDescent="0.25">
      <c r="A4" s="7" t="s">
        <v>92</v>
      </c>
      <c r="B4" s="8" t="s">
        <v>65</v>
      </c>
      <c r="C4" s="8" t="s">
        <v>65</v>
      </c>
      <c r="D4" s="7" t="s">
        <v>25</v>
      </c>
      <c r="E4" s="7" t="s">
        <v>25</v>
      </c>
      <c r="F4" s="8">
        <f>SUM(B4,C4,D4,E4)</f>
        <v>0</v>
      </c>
    </row>
    <row r="5" spans="1:8" x14ac:dyDescent="0.25">
      <c r="A5" s="7" t="s">
        <v>93</v>
      </c>
      <c r="B5" s="7" t="s">
        <v>25</v>
      </c>
      <c r="C5" s="7" t="s">
        <v>25</v>
      </c>
      <c r="D5" s="7" t="s">
        <v>25</v>
      </c>
      <c r="E5" s="7" t="s">
        <v>25</v>
      </c>
      <c r="F5" s="8">
        <f>SUM(B5,C5,D5,E5)</f>
        <v>0</v>
      </c>
    </row>
    <row r="6" spans="1:8" x14ac:dyDescent="0.25">
      <c r="A6" s="7" t="s">
        <v>94</v>
      </c>
      <c r="B6" s="8" t="s">
        <v>65</v>
      </c>
      <c r="C6" s="8" t="s">
        <v>65</v>
      </c>
      <c r="D6" s="7" t="s">
        <v>25</v>
      </c>
      <c r="E6" s="7" t="s">
        <v>25</v>
      </c>
      <c r="F6" s="8">
        <f>SUM(B6,C6,D6,E6)</f>
        <v>0</v>
      </c>
    </row>
    <row r="7" spans="1:8" s="9" customFormat="1" x14ac:dyDescent="0.25">
      <c r="A7" s="10" t="s">
        <v>22</v>
      </c>
      <c r="B7" s="11">
        <f>SUM(B2:B6)</f>
        <v>0</v>
      </c>
      <c r="C7" s="11">
        <f>SUM(C2:C6)</f>
        <v>0</v>
      </c>
      <c r="D7" s="11">
        <f>SUM(D2:D6)</f>
        <v>0</v>
      </c>
      <c r="E7" s="11">
        <f>SUM(E2:E6)</f>
        <v>0</v>
      </c>
      <c r="F7" s="11">
        <f>SUM(F2:F6)</f>
        <v>0</v>
      </c>
    </row>
  </sheetData>
  <autoFilter ref="A1:F1" xr:uid="{00000000-0009-0000-0000-000009000000}"/>
  <hyperlinks>
    <hyperlink ref="H1" location="#'Sommaire'!A1" tooltip="Revenir au sommaire" display="Retour au sommaire" xr:uid="{00000000-0004-0000-0900-000000000000}"/>
  </hyperlink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4" width="14" customWidth="1"/>
  </cols>
  <sheetData>
    <row r="1" spans="1:6" s="4" customFormat="1" ht="21.95" customHeight="1" x14ac:dyDescent="0.25">
      <c r="A1" s="5" t="s">
        <v>95</v>
      </c>
      <c r="B1" s="5" t="s">
        <v>20</v>
      </c>
      <c r="C1" s="5" t="s">
        <v>21</v>
      </c>
      <c r="D1" s="5" t="s">
        <v>22</v>
      </c>
      <c r="F1" s="6" t="s">
        <v>23</v>
      </c>
    </row>
    <row r="2" spans="1:6" x14ac:dyDescent="0.25">
      <c r="A2" s="7" t="s">
        <v>96</v>
      </c>
      <c r="B2" s="7" t="s">
        <v>25</v>
      </c>
      <c r="C2" s="7" t="s">
        <v>25</v>
      </c>
      <c r="D2" s="8">
        <f t="shared" ref="D2:D11" si="0">SUM(B2,C2)</f>
        <v>0</v>
      </c>
    </row>
    <row r="3" spans="1:6" x14ac:dyDescent="0.25">
      <c r="A3" s="7" t="s">
        <v>97</v>
      </c>
      <c r="B3" s="7" t="s">
        <v>25</v>
      </c>
      <c r="C3" s="7" t="s">
        <v>25</v>
      </c>
      <c r="D3" s="8">
        <f t="shared" si="0"/>
        <v>0</v>
      </c>
    </row>
    <row r="4" spans="1:6" x14ac:dyDescent="0.25">
      <c r="A4" s="7" t="s">
        <v>98</v>
      </c>
      <c r="B4" s="7" t="s">
        <v>25</v>
      </c>
      <c r="C4" s="7" t="s">
        <v>25</v>
      </c>
      <c r="D4" s="8">
        <f t="shared" si="0"/>
        <v>0</v>
      </c>
    </row>
    <row r="5" spans="1:6" x14ac:dyDescent="0.25">
      <c r="A5" s="7" t="s">
        <v>99</v>
      </c>
      <c r="B5" s="8" t="s">
        <v>65</v>
      </c>
      <c r="C5" s="7" t="s">
        <v>25</v>
      </c>
      <c r="D5" s="8">
        <f t="shared" si="0"/>
        <v>0</v>
      </c>
    </row>
    <row r="6" spans="1:6" x14ac:dyDescent="0.25">
      <c r="A6" s="7" t="s">
        <v>100</v>
      </c>
      <c r="B6" s="7" t="s">
        <v>25</v>
      </c>
      <c r="C6" s="7" t="s">
        <v>25</v>
      </c>
      <c r="D6" s="8">
        <f t="shared" si="0"/>
        <v>0</v>
      </c>
    </row>
    <row r="7" spans="1:6" x14ac:dyDescent="0.25">
      <c r="A7" s="7" t="s">
        <v>10</v>
      </c>
      <c r="B7" s="7" t="s">
        <v>25</v>
      </c>
      <c r="C7" s="7" t="s">
        <v>25</v>
      </c>
      <c r="D7" s="8">
        <f t="shared" si="0"/>
        <v>0</v>
      </c>
    </row>
    <row r="8" spans="1:6" x14ac:dyDescent="0.25">
      <c r="A8" s="7" t="s">
        <v>101</v>
      </c>
      <c r="B8" s="7" t="s">
        <v>25</v>
      </c>
      <c r="C8" s="7" t="s">
        <v>25</v>
      </c>
      <c r="D8" s="8">
        <f t="shared" si="0"/>
        <v>0</v>
      </c>
    </row>
    <row r="9" spans="1:6" x14ac:dyDescent="0.25">
      <c r="A9" s="7" t="s">
        <v>102</v>
      </c>
      <c r="B9" s="7" t="s">
        <v>25</v>
      </c>
      <c r="C9" s="7" t="s">
        <v>25</v>
      </c>
      <c r="D9" s="8">
        <f t="shared" si="0"/>
        <v>0</v>
      </c>
    </row>
    <row r="10" spans="1:6" x14ac:dyDescent="0.25">
      <c r="A10" s="7" t="s">
        <v>103</v>
      </c>
      <c r="B10" s="7" t="s">
        <v>25</v>
      </c>
      <c r="C10" s="7" t="s">
        <v>25</v>
      </c>
      <c r="D10" s="8">
        <f t="shared" si="0"/>
        <v>0</v>
      </c>
    </row>
    <row r="11" spans="1:6" x14ac:dyDescent="0.25">
      <c r="A11" s="7" t="s">
        <v>104</v>
      </c>
      <c r="B11" s="7" t="s">
        <v>25</v>
      </c>
      <c r="C11" s="7" t="s">
        <v>25</v>
      </c>
      <c r="D11" s="8">
        <f t="shared" si="0"/>
        <v>0</v>
      </c>
    </row>
    <row r="12" spans="1:6" s="9" customFormat="1" x14ac:dyDescent="0.25">
      <c r="A12" s="10" t="s">
        <v>22</v>
      </c>
      <c r="B12" s="11">
        <f>SUM(B2:B11)</f>
        <v>0</v>
      </c>
      <c r="C12" s="11">
        <f>SUM(C2:C11)</f>
        <v>0</v>
      </c>
      <c r="D12" s="11">
        <f>SUM(D2:D11)</f>
        <v>0</v>
      </c>
    </row>
  </sheetData>
  <autoFilter ref="A1:D1" xr:uid="{00000000-0009-0000-0000-00000A000000}"/>
  <hyperlinks>
    <hyperlink ref="F1" location="#'Sommaire'!A1" tooltip="Revenir au sommaire" display="Retour au sommaire" xr:uid="{00000000-0004-0000-0A00-000000000000}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3" customWidth="1"/>
    <col min="2" max="4" width="14" customWidth="1"/>
  </cols>
  <sheetData>
    <row r="1" spans="1:6" s="4" customFormat="1" ht="21.95" customHeight="1" x14ac:dyDescent="0.25">
      <c r="A1" s="5" t="s">
        <v>105</v>
      </c>
      <c r="B1" s="5" t="s">
        <v>20</v>
      </c>
      <c r="C1" s="5" t="s">
        <v>21</v>
      </c>
      <c r="D1" s="5" t="s">
        <v>22</v>
      </c>
      <c r="F1" s="6" t="s">
        <v>23</v>
      </c>
    </row>
    <row r="2" spans="1:6" x14ac:dyDescent="0.25">
      <c r="A2" s="7" t="s">
        <v>106</v>
      </c>
      <c r="B2" s="7" t="s">
        <v>25</v>
      </c>
      <c r="C2" s="7" t="s">
        <v>25</v>
      </c>
      <c r="D2" s="8">
        <f>SUM(B2,C2)</f>
        <v>0</v>
      </c>
    </row>
    <row r="3" spans="1:6" x14ac:dyDescent="0.25">
      <c r="A3" s="7" t="s">
        <v>107</v>
      </c>
      <c r="B3" s="7" t="s">
        <v>25</v>
      </c>
      <c r="C3" s="7" t="s">
        <v>25</v>
      </c>
      <c r="D3" s="8">
        <f>SUM(B3,C3)</f>
        <v>0</v>
      </c>
    </row>
    <row r="4" spans="1:6" x14ac:dyDescent="0.25">
      <c r="A4" s="7" t="s">
        <v>108</v>
      </c>
      <c r="B4" s="7" t="s">
        <v>25</v>
      </c>
      <c r="C4" s="7" t="s">
        <v>25</v>
      </c>
      <c r="D4" s="8">
        <f>SUM(B4,C4)</f>
        <v>0</v>
      </c>
    </row>
    <row r="5" spans="1:6" x14ac:dyDescent="0.25">
      <c r="A5" s="7" t="s">
        <v>109</v>
      </c>
      <c r="B5" s="7" t="s">
        <v>25</v>
      </c>
      <c r="C5" s="7" t="s">
        <v>25</v>
      </c>
      <c r="D5" s="8">
        <f>SUM(B5,C5)</f>
        <v>0</v>
      </c>
    </row>
    <row r="6" spans="1:6" s="9" customFormat="1" x14ac:dyDescent="0.25">
      <c r="A6" s="10" t="s">
        <v>22</v>
      </c>
      <c r="B6" s="11">
        <f>SUM(B2:B5)</f>
        <v>0</v>
      </c>
      <c r="C6" s="11">
        <f>SUM(C2:C5)</f>
        <v>0</v>
      </c>
      <c r="D6" s="11">
        <f>SUM(D2:D5)</f>
        <v>0</v>
      </c>
    </row>
  </sheetData>
  <autoFilter ref="A1:D1" xr:uid="{00000000-0009-0000-0000-00000B000000}"/>
  <hyperlinks>
    <hyperlink ref="F1" location="#'Sommaire'!A1" tooltip="Revenir au sommaire" display="Retour au sommaire" xr:uid="{00000000-0004-0000-0B00-000000000000}"/>
  </hyperlink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3" width="19" customWidth="1"/>
    <col min="4" max="4" width="18" customWidth="1"/>
    <col min="5" max="6" width="14" customWidth="1"/>
    <col min="7" max="7" width="15" customWidth="1"/>
  </cols>
  <sheetData>
    <row r="1" spans="1:9" s="4" customFormat="1" ht="21.95" customHeight="1" x14ac:dyDescent="0.25">
      <c r="A1" s="5" t="s">
        <v>110</v>
      </c>
      <c r="B1" s="5" t="s">
        <v>111</v>
      </c>
      <c r="C1" s="5" t="s">
        <v>112</v>
      </c>
      <c r="D1" s="5" t="s">
        <v>6</v>
      </c>
      <c r="E1" s="5" t="s">
        <v>113</v>
      </c>
      <c r="F1" s="5" t="s">
        <v>114</v>
      </c>
      <c r="G1" s="5" t="s">
        <v>115</v>
      </c>
      <c r="I1" s="6" t="s">
        <v>23</v>
      </c>
    </row>
    <row r="2" spans="1:9" x14ac:dyDescent="0.25">
      <c r="A2" s="7" t="s">
        <v>116</v>
      </c>
      <c r="B2" s="7" t="s">
        <v>25</v>
      </c>
      <c r="C2" s="7" t="s">
        <v>25</v>
      </c>
      <c r="D2" s="7" t="s">
        <v>25</v>
      </c>
      <c r="E2" s="7" t="s">
        <v>25</v>
      </c>
      <c r="F2" s="7" t="s">
        <v>25</v>
      </c>
      <c r="G2" s="7" t="s">
        <v>25</v>
      </c>
    </row>
    <row r="3" spans="1:9" x14ac:dyDescent="0.25">
      <c r="A3" s="7" t="s">
        <v>117</v>
      </c>
      <c r="B3" s="7" t="s">
        <v>25</v>
      </c>
      <c r="C3" s="7" t="s">
        <v>25</v>
      </c>
      <c r="D3" s="7" t="s">
        <v>25</v>
      </c>
      <c r="E3" s="7" t="s">
        <v>25</v>
      </c>
      <c r="F3" s="7" t="s">
        <v>25</v>
      </c>
      <c r="G3" s="7" t="s">
        <v>25</v>
      </c>
    </row>
    <row r="4" spans="1:9" x14ac:dyDescent="0.25">
      <c r="A4" s="7" t="s">
        <v>118</v>
      </c>
      <c r="B4" s="7" t="s">
        <v>25</v>
      </c>
      <c r="C4" s="7" t="s">
        <v>25</v>
      </c>
      <c r="D4" s="7" t="s">
        <v>25</v>
      </c>
      <c r="E4" s="7" t="s">
        <v>25</v>
      </c>
      <c r="F4" s="7" t="s">
        <v>25</v>
      </c>
      <c r="G4" s="7" t="s">
        <v>25</v>
      </c>
    </row>
    <row r="5" spans="1:9" x14ac:dyDescent="0.25">
      <c r="A5" s="7" t="s">
        <v>119</v>
      </c>
      <c r="B5" s="7" t="s">
        <v>25</v>
      </c>
      <c r="C5" s="7" t="s">
        <v>25</v>
      </c>
      <c r="D5" s="7" t="s">
        <v>25</v>
      </c>
      <c r="E5" s="7" t="s">
        <v>25</v>
      </c>
      <c r="F5" s="7" t="s">
        <v>25</v>
      </c>
      <c r="G5" s="7" t="s">
        <v>25</v>
      </c>
    </row>
    <row r="6" spans="1:9" x14ac:dyDescent="0.25">
      <c r="A6" s="7" t="s">
        <v>120</v>
      </c>
      <c r="B6" s="7" t="s">
        <v>25</v>
      </c>
      <c r="C6" s="7" t="s">
        <v>25</v>
      </c>
      <c r="D6" s="7" t="s">
        <v>25</v>
      </c>
      <c r="E6" s="7" t="s">
        <v>25</v>
      </c>
      <c r="F6" s="7" t="s">
        <v>25</v>
      </c>
      <c r="G6" s="7" t="s">
        <v>25</v>
      </c>
    </row>
    <row r="7" spans="1:9" x14ac:dyDescent="0.25">
      <c r="A7" s="7" t="s">
        <v>121</v>
      </c>
      <c r="B7" s="7" t="s">
        <v>25</v>
      </c>
      <c r="C7" s="7" t="s">
        <v>25</v>
      </c>
      <c r="D7" s="7" t="s">
        <v>25</v>
      </c>
      <c r="E7" s="7" t="s">
        <v>25</v>
      </c>
      <c r="F7" s="7" t="s">
        <v>25</v>
      </c>
      <c r="G7" s="7" t="s">
        <v>25</v>
      </c>
    </row>
    <row r="8" spans="1:9" x14ac:dyDescent="0.25">
      <c r="A8" s="7" t="s">
        <v>122</v>
      </c>
      <c r="B8" s="7" t="s">
        <v>25</v>
      </c>
      <c r="C8" s="7" t="s">
        <v>25</v>
      </c>
      <c r="D8" s="7" t="s">
        <v>25</v>
      </c>
      <c r="E8" s="7" t="s">
        <v>25</v>
      </c>
      <c r="F8" s="7" t="s">
        <v>25</v>
      </c>
      <c r="G8" s="7" t="s">
        <v>25</v>
      </c>
    </row>
    <row r="9" spans="1:9" x14ac:dyDescent="0.25">
      <c r="A9" s="7" t="s">
        <v>123</v>
      </c>
      <c r="B9" s="7" t="s">
        <v>25</v>
      </c>
      <c r="C9" s="7" t="s">
        <v>25</v>
      </c>
      <c r="D9" s="7" t="s">
        <v>25</v>
      </c>
      <c r="E9" s="7" t="s">
        <v>25</v>
      </c>
      <c r="F9" s="7" t="s">
        <v>25</v>
      </c>
      <c r="G9" s="7" t="s">
        <v>25</v>
      </c>
    </row>
    <row r="10" spans="1:9" x14ac:dyDescent="0.25">
      <c r="A10" s="7" t="s">
        <v>124</v>
      </c>
      <c r="B10" s="7" t="s">
        <v>25</v>
      </c>
      <c r="C10" s="7" t="s">
        <v>25</v>
      </c>
      <c r="D10" s="7" t="s">
        <v>25</v>
      </c>
      <c r="E10" s="7" t="s">
        <v>25</v>
      </c>
      <c r="F10" s="7" t="s">
        <v>25</v>
      </c>
      <c r="G10" s="7" t="s">
        <v>25</v>
      </c>
    </row>
    <row r="11" spans="1:9" x14ac:dyDescent="0.25">
      <c r="A11" s="7" t="s">
        <v>125</v>
      </c>
      <c r="B11" s="7" t="s">
        <v>25</v>
      </c>
      <c r="C11" s="7" t="s">
        <v>25</v>
      </c>
      <c r="D11" s="7" t="s">
        <v>25</v>
      </c>
      <c r="E11" s="7" t="s">
        <v>25</v>
      </c>
      <c r="F11" s="7" t="s">
        <v>25</v>
      </c>
      <c r="G11" s="7" t="s">
        <v>25</v>
      </c>
    </row>
    <row r="12" spans="1:9" x14ac:dyDescent="0.25">
      <c r="A12" s="7" t="s">
        <v>126</v>
      </c>
      <c r="B12" s="7" t="s">
        <v>25</v>
      </c>
      <c r="C12" s="7" t="s">
        <v>25</v>
      </c>
      <c r="D12" s="7" t="s">
        <v>25</v>
      </c>
      <c r="E12" s="7" t="s">
        <v>25</v>
      </c>
      <c r="F12" s="7" t="s">
        <v>25</v>
      </c>
      <c r="G12" s="7" t="s">
        <v>25</v>
      </c>
    </row>
    <row r="13" spans="1:9" x14ac:dyDescent="0.25">
      <c r="A13" s="7" t="s">
        <v>127</v>
      </c>
      <c r="B13" s="7" t="s">
        <v>25</v>
      </c>
      <c r="C13" s="7" t="s">
        <v>25</v>
      </c>
      <c r="D13" s="7" t="s">
        <v>25</v>
      </c>
      <c r="E13" s="7" t="s">
        <v>25</v>
      </c>
      <c r="F13" s="7" t="s">
        <v>25</v>
      </c>
      <c r="G13" s="7" t="s">
        <v>25</v>
      </c>
    </row>
    <row r="14" spans="1:9" s="9" customFormat="1" x14ac:dyDescent="0.25">
      <c r="A14" s="10" t="s">
        <v>128</v>
      </c>
      <c r="B14" s="11">
        <f t="shared" ref="B14:G14" si="0">SUM(B2:B13)</f>
        <v>0</v>
      </c>
      <c r="C14" s="11">
        <f t="shared" si="0"/>
        <v>0</v>
      </c>
      <c r="D14" s="11">
        <f t="shared" si="0"/>
        <v>0</v>
      </c>
      <c r="E14" s="11">
        <f t="shared" si="0"/>
        <v>0</v>
      </c>
      <c r="F14" s="11">
        <f t="shared" si="0"/>
        <v>0</v>
      </c>
      <c r="G14" s="11">
        <f t="shared" si="0"/>
        <v>0</v>
      </c>
    </row>
  </sheetData>
  <autoFilter ref="A1:G1" xr:uid="{00000000-0009-0000-0000-00000C000000}"/>
  <hyperlinks>
    <hyperlink ref="I1" location="#'Sommaire'!A1" tooltip="Revenir au sommaire" display="Retour au sommaire" xr:uid="{00000000-0004-0000-0C00-000000000000}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AD47"/>
  </sheetPr>
  <dimension ref="A1:Y33"/>
  <sheetViews>
    <sheetView topLeftCell="Q1" workbookViewId="0">
      <pane ySplit="2" topLeftCell="A3" activePane="bottomLeft" state="frozen"/>
      <selection pane="bottomLeft" activeCell="V5" sqref="V5"/>
    </sheetView>
  </sheetViews>
  <sheetFormatPr baseColWidth="10" defaultColWidth="9.140625" defaultRowHeight="15" x14ac:dyDescent="0.25"/>
  <cols>
    <col min="1" max="1" width="26" customWidth="1"/>
    <col min="2" max="7" width="18" customWidth="1"/>
    <col min="9" max="13" width="18" customWidth="1"/>
    <col min="15" max="16" width="18" customWidth="1"/>
    <col min="18" max="19" width="18" customWidth="1"/>
    <col min="21" max="22" width="18" customWidth="1"/>
    <col min="24" max="25" width="18" customWidth="1"/>
  </cols>
  <sheetData>
    <row r="1" spans="1:25" ht="21" x14ac:dyDescent="0.35">
      <c r="A1" s="20" t="s">
        <v>129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V1" s="12" t="s">
        <v>23</v>
      </c>
    </row>
    <row r="2" spans="1:25" x14ac:dyDescent="0.25">
      <c r="A2" s="21" t="s">
        <v>130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5" ht="15.75" x14ac:dyDescent="0.25">
      <c r="A3" s="19" t="s">
        <v>131</v>
      </c>
      <c r="B3" s="19"/>
      <c r="E3" s="19" t="s">
        <v>132</v>
      </c>
      <c r="F3" s="19"/>
      <c r="G3" s="19"/>
      <c r="I3" s="19" t="s">
        <v>133</v>
      </c>
      <c r="J3" s="19"/>
      <c r="L3" s="19" t="s">
        <v>134</v>
      </c>
      <c r="M3" s="19"/>
      <c r="O3" s="19" t="s">
        <v>135</v>
      </c>
      <c r="P3" s="19"/>
      <c r="R3" s="19" t="s">
        <v>136</v>
      </c>
      <c r="S3" s="19"/>
      <c r="U3" s="19" t="s">
        <v>12</v>
      </c>
      <c r="V3" s="19"/>
      <c r="X3" s="19" t="s">
        <v>11</v>
      </c>
      <c r="Y3" s="19"/>
    </row>
    <row r="4" spans="1:25" s="13" customFormat="1" x14ac:dyDescent="0.25">
      <c r="A4" s="14" t="s">
        <v>62</v>
      </c>
      <c r="B4" s="14" t="s">
        <v>137</v>
      </c>
      <c r="E4" s="14" t="s">
        <v>19</v>
      </c>
      <c r="F4" s="14" t="s">
        <v>20</v>
      </c>
      <c r="G4" s="14" t="s">
        <v>21</v>
      </c>
      <c r="I4" s="14" t="s">
        <v>30</v>
      </c>
      <c r="J4" s="14" t="s">
        <v>22</v>
      </c>
      <c r="L4" s="14" t="s">
        <v>95</v>
      </c>
      <c r="M4" s="14" t="s">
        <v>22</v>
      </c>
      <c r="O4" s="14" t="s">
        <v>138</v>
      </c>
      <c r="P4" s="14" t="s">
        <v>139</v>
      </c>
      <c r="R4" s="14" t="s">
        <v>105</v>
      </c>
      <c r="S4" s="14" t="s">
        <v>140</v>
      </c>
      <c r="U4" s="14" t="s">
        <v>77</v>
      </c>
      <c r="V4" s="14" t="s">
        <v>141</v>
      </c>
      <c r="X4" s="14" t="s">
        <v>61</v>
      </c>
      <c r="Y4" s="14" t="s">
        <v>142</v>
      </c>
    </row>
    <row r="5" spans="1:25" x14ac:dyDescent="0.25">
      <c r="A5" s="15" t="s">
        <v>143</v>
      </c>
      <c r="B5" s="16">
        <f>Consultations!D6</f>
        <v>41</v>
      </c>
      <c r="E5" s="15" t="s">
        <v>24</v>
      </c>
      <c r="F5" s="16">
        <f>Consultations!B2</f>
        <v>12</v>
      </c>
      <c r="G5" s="16">
        <f>Consultations!C2</f>
        <v>4</v>
      </c>
      <c r="I5" s="15" t="s">
        <v>37</v>
      </c>
      <c r="J5" s="16">
        <f>Hospitalisations!F2</f>
        <v>35</v>
      </c>
      <c r="L5" s="15" t="s">
        <v>96</v>
      </c>
      <c r="M5" s="16">
        <f>'Ressources humaines'!D2</f>
        <v>0</v>
      </c>
      <c r="O5" s="15" t="s">
        <v>31</v>
      </c>
      <c r="P5" s="16" t="str">
        <f>'Morbidité &amp; mortalité'!B3</f>
        <v/>
      </c>
      <c r="R5" s="15" t="s">
        <v>7</v>
      </c>
      <c r="S5" s="16">
        <f>'Bloc opératoire'!F4</f>
        <v>0</v>
      </c>
      <c r="U5" s="15" t="s">
        <v>78</v>
      </c>
      <c r="V5" s="16">
        <f>'Maladies notifiables'!F2</f>
        <v>0</v>
      </c>
      <c r="X5" s="15" t="s">
        <v>144</v>
      </c>
      <c r="Y5" s="16">
        <f>'Programmes de santé'!G2</f>
        <v>0</v>
      </c>
    </row>
    <row r="6" spans="1:25" x14ac:dyDescent="0.25">
      <c r="A6" s="15" t="s">
        <v>145</v>
      </c>
      <c r="B6" s="16">
        <f>Hospitalisations!F7</f>
        <v>47</v>
      </c>
      <c r="E6" s="15" t="s">
        <v>26</v>
      </c>
      <c r="F6" s="16">
        <f>Consultations!B3</f>
        <v>10</v>
      </c>
      <c r="G6" s="16">
        <f>Consultations!C3</f>
        <v>4</v>
      </c>
      <c r="I6" s="15" t="s">
        <v>38</v>
      </c>
      <c r="J6" s="16">
        <f>Hospitalisations!F3</f>
        <v>12</v>
      </c>
      <c r="L6" s="15" t="s">
        <v>97</v>
      </c>
      <c r="M6" s="16">
        <f>'Ressources humaines'!D3</f>
        <v>0</v>
      </c>
      <c r="O6" s="15" t="s">
        <v>32</v>
      </c>
      <c r="P6" s="16" t="str">
        <f>'Morbidité &amp; mortalité'!C3</f>
        <v/>
      </c>
      <c r="R6" s="15" t="s">
        <v>10</v>
      </c>
      <c r="S6" s="16">
        <f>Laboratoire!F7</f>
        <v>0</v>
      </c>
      <c r="U6" s="15" t="s">
        <v>79</v>
      </c>
      <c r="V6" s="16">
        <f>'Maladies notifiables'!F3</f>
        <v>0</v>
      </c>
      <c r="X6" s="15" t="s">
        <v>66</v>
      </c>
      <c r="Y6" s="16">
        <f>'Programmes de santé'!G3</f>
        <v>0</v>
      </c>
    </row>
    <row r="7" spans="1:25" x14ac:dyDescent="0.25">
      <c r="A7" s="15" t="s">
        <v>91</v>
      </c>
      <c r="B7" s="16">
        <f>SUM(Hospitalisations!G7,Hospitalisations!H7)</f>
        <v>0</v>
      </c>
      <c r="E7" s="15" t="s">
        <v>27</v>
      </c>
      <c r="F7" s="16">
        <f>Consultations!B4</f>
        <v>1</v>
      </c>
      <c r="G7" s="16">
        <f>Consultations!C4</f>
        <v>6</v>
      </c>
      <c r="I7" s="15" t="s">
        <v>39</v>
      </c>
      <c r="J7" s="16">
        <f>Hospitalisations!F4</f>
        <v>0</v>
      </c>
      <c r="L7" s="15" t="s">
        <v>98</v>
      </c>
      <c r="M7" s="16">
        <f>'Ressources humaines'!D4</f>
        <v>0</v>
      </c>
      <c r="O7" s="15" t="s">
        <v>33</v>
      </c>
      <c r="P7" s="16" t="str">
        <f>'Morbidité &amp; mortalité'!D3</f>
        <v/>
      </c>
      <c r="R7" s="15" t="s">
        <v>101</v>
      </c>
      <c r="S7" s="16">
        <f>'Imagerie médicale'!F5</f>
        <v>0</v>
      </c>
      <c r="U7" s="15" t="s">
        <v>80</v>
      </c>
      <c r="V7" s="16">
        <f>'Maladies notifiables'!F4</f>
        <v>0</v>
      </c>
      <c r="X7" s="15" t="s">
        <v>68</v>
      </c>
      <c r="Y7" s="16">
        <f>'Programmes de santé'!G4</f>
        <v>0</v>
      </c>
    </row>
    <row r="8" spans="1:25" x14ac:dyDescent="0.25">
      <c r="A8" s="15" t="s">
        <v>146</v>
      </c>
      <c r="B8" s="16">
        <f>'Bloc opératoire'!F4</f>
        <v>0</v>
      </c>
      <c r="E8" s="15" t="s">
        <v>28</v>
      </c>
      <c r="F8" s="16">
        <f>Consultations!B5</f>
        <v>2</v>
      </c>
      <c r="G8" s="16">
        <f>Consultations!C5</f>
        <v>2</v>
      </c>
      <c r="I8" s="15" t="s">
        <v>40</v>
      </c>
      <c r="J8" s="16">
        <f>Hospitalisations!F5</f>
        <v>0</v>
      </c>
      <c r="L8" s="15" t="s">
        <v>99</v>
      </c>
      <c r="M8" s="16">
        <f>'Ressources humaines'!D5</f>
        <v>0</v>
      </c>
      <c r="O8" s="15" t="s">
        <v>34</v>
      </c>
      <c r="P8" s="16" t="str">
        <f>'Morbidité &amp; mortalité'!E3</f>
        <v/>
      </c>
      <c r="R8" s="15" t="s">
        <v>8</v>
      </c>
      <c r="S8" s="16">
        <f>'Services spécialisés'!F7</f>
        <v>0</v>
      </c>
      <c r="U8" s="15" t="s">
        <v>81</v>
      </c>
      <c r="V8" s="16">
        <f>'Maladies notifiables'!F5</f>
        <v>0</v>
      </c>
      <c r="X8" s="15" t="s">
        <v>70</v>
      </c>
      <c r="Y8" s="16">
        <f>'Programmes de santé'!G5</f>
        <v>0</v>
      </c>
    </row>
    <row r="9" spans="1:25" x14ac:dyDescent="0.25">
      <c r="A9" s="15" t="s">
        <v>8</v>
      </c>
      <c r="B9" s="16">
        <f>'Services spécialisés'!F7</f>
        <v>0</v>
      </c>
      <c r="I9" s="15" t="s">
        <v>41</v>
      </c>
      <c r="J9" s="16">
        <f>Hospitalisations!F6</f>
        <v>0</v>
      </c>
      <c r="L9" s="15" t="s">
        <v>100</v>
      </c>
      <c r="M9" s="16">
        <f>'Ressources humaines'!D6</f>
        <v>0</v>
      </c>
      <c r="U9" s="15" t="s">
        <v>82</v>
      </c>
      <c r="V9" s="16">
        <f>'Maladies notifiables'!F6</f>
        <v>0</v>
      </c>
      <c r="X9" s="15" t="s">
        <v>147</v>
      </c>
      <c r="Y9" s="16">
        <f>'Programmes de santé'!G6</f>
        <v>0</v>
      </c>
    </row>
    <row r="10" spans="1:25" x14ac:dyDescent="0.25">
      <c r="A10" s="15" t="s">
        <v>9</v>
      </c>
      <c r="B10" s="16">
        <f>'Imagerie médicale'!F5</f>
        <v>0</v>
      </c>
      <c r="L10" s="15" t="s">
        <v>10</v>
      </c>
      <c r="M10" s="16">
        <f>'Ressources humaines'!D7</f>
        <v>0</v>
      </c>
      <c r="U10" s="15" t="s">
        <v>83</v>
      </c>
      <c r="V10" s="16">
        <f>'Maladies notifiables'!F7</f>
        <v>0</v>
      </c>
      <c r="X10" s="15" t="s">
        <v>73</v>
      </c>
      <c r="Y10" s="16">
        <f>'Programmes de santé'!G7</f>
        <v>0</v>
      </c>
    </row>
    <row r="11" spans="1:25" x14ac:dyDescent="0.25">
      <c r="A11" s="15" t="s">
        <v>148</v>
      </c>
      <c r="B11" s="16">
        <f>Laboratoire!F7</f>
        <v>0</v>
      </c>
      <c r="L11" s="15" t="s">
        <v>101</v>
      </c>
      <c r="M11" s="16">
        <f>'Ressources humaines'!D8</f>
        <v>0</v>
      </c>
      <c r="U11" s="15" t="s">
        <v>84</v>
      </c>
      <c r="V11" s="16">
        <f>'Maladies notifiables'!F8</f>
        <v>0</v>
      </c>
      <c r="X11" s="15" t="s">
        <v>149</v>
      </c>
      <c r="Y11" s="16">
        <f>'Programmes de santé'!G8</f>
        <v>0</v>
      </c>
    </row>
    <row r="12" spans="1:25" x14ac:dyDescent="0.25">
      <c r="A12" s="15" t="s">
        <v>14</v>
      </c>
      <c r="B12" s="16">
        <f>'Ressources humaines'!D12</f>
        <v>0</v>
      </c>
      <c r="L12" s="15" t="s">
        <v>102</v>
      </c>
      <c r="M12" s="16">
        <f>'Ressources humaines'!D9</f>
        <v>0</v>
      </c>
      <c r="U12" s="15" t="s">
        <v>85</v>
      </c>
      <c r="V12" s="16">
        <f>'Maladies notifiables'!F9</f>
        <v>0</v>
      </c>
    </row>
    <row r="13" spans="1:25" x14ac:dyDescent="0.25">
      <c r="L13" s="15" t="s">
        <v>103</v>
      </c>
      <c r="M13" s="16">
        <f>'Ressources humaines'!D10</f>
        <v>0</v>
      </c>
      <c r="U13" s="15" t="s">
        <v>86</v>
      </c>
      <c r="V13" s="16">
        <f>'Maladies notifiables'!F10</f>
        <v>0</v>
      </c>
    </row>
    <row r="14" spans="1:25" x14ac:dyDescent="0.25">
      <c r="L14" s="15" t="s">
        <v>104</v>
      </c>
      <c r="M14" s="16">
        <f>'Ressources humaines'!D11</f>
        <v>0</v>
      </c>
      <c r="U14" s="15" t="s">
        <v>87</v>
      </c>
      <c r="V14" s="16">
        <f>'Maladies notifiables'!F11</f>
        <v>0</v>
      </c>
    </row>
    <row r="15" spans="1:25" x14ac:dyDescent="0.25">
      <c r="U15" s="15" t="s">
        <v>88</v>
      </c>
      <c r="V15" s="16">
        <f>'Maladies notifiables'!F12</f>
        <v>0</v>
      </c>
    </row>
    <row r="16" spans="1:25" x14ac:dyDescent="0.25">
      <c r="U16" s="15" t="s">
        <v>89</v>
      </c>
      <c r="V16" s="16">
        <f>'Maladies notifiables'!F13</f>
        <v>0</v>
      </c>
    </row>
    <row r="20" spans="1:12" ht="15.75" x14ac:dyDescent="0.25">
      <c r="A20" s="19" t="s">
        <v>150</v>
      </c>
      <c r="B20" s="19"/>
      <c r="C20" s="19"/>
      <c r="D20" s="19"/>
      <c r="E20" s="19"/>
      <c r="F20" s="19"/>
      <c r="G20" s="19"/>
      <c r="I20" s="19" t="s">
        <v>151</v>
      </c>
      <c r="J20" s="19"/>
      <c r="K20" s="19"/>
      <c r="L20" s="19"/>
    </row>
    <row r="21" spans="1:12" s="13" customFormat="1" x14ac:dyDescent="0.25">
      <c r="A21" s="14" t="s">
        <v>110</v>
      </c>
      <c r="B21" s="14" t="s">
        <v>152</v>
      </c>
      <c r="C21" s="14" t="s">
        <v>153</v>
      </c>
      <c r="D21" s="14" t="s">
        <v>6</v>
      </c>
      <c r="E21" s="14" t="s">
        <v>113</v>
      </c>
      <c r="F21" s="14" t="s">
        <v>114</v>
      </c>
      <c r="G21" s="14" t="s">
        <v>115</v>
      </c>
      <c r="I21" s="14" t="s">
        <v>154</v>
      </c>
      <c r="J21" s="14" t="s">
        <v>4</v>
      </c>
      <c r="K21" s="14" t="s">
        <v>6</v>
      </c>
      <c r="L21" s="14" t="s">
        <v>155</v>
      </c>
    </row>
    <row r="22" spans="1:12" x14ac:dyDescent="0.25">
      <c r="A22" s="15" t="s">
        <v>116</v>
      </c>
      <c r="B22" s="16" t="str">
        <f>'Évolution mensuelle'!B2</f>
        <v/>
      </c>
      <c r="C22" s="16" t="str">
        <f>'Évolution mensuelle'!C2</f>
        <v/>
      </c>
      <c r="D22" s="16" t="str">
        <f>'Évolution mensuelle'!D2</f>
        <v/>
      </c>
      <c r="E22" s="16" t="str">
        <f>'Évolution mensuelle'!E2</f>
        <v/>
      </c>
      <c r="F22" s="16" t="str">
        <f>'Évolution mensuelle'!F2</f>
        <v/>
      </c>
      <c r="G22" s="16" t="str">
        <f>'Évolution mensuelle'!G2</f>
        <v/>
      </c>
      <c r="I22" s="15" t="s">
        <v>24</v>
      </c>
      <c r="J22" s="16">
        <f>Consultations!D2</f>
        <v>16</v>
      </c>
      <c r="K22" s="16">
        <f>Hospitalisations!B7</f>
        <v>12</v>
      </c>
      <c r="L22" s="16">
        <f>'Maladies notifiables'!B14</f>
        <v>0</v>
      </c>
    </row>
    <row r="23" spans="1:12" x14ac:dyDescent="0.25">
      <c r="A23" s="15" t="s">
        <v>117</v>
      </c>
      <c r="B23" s="16" t="str">
        <f>'Évolution mensuelle'!B3</f>
        <v/>
      </c>
      <c r="C23" s="16" t="str">
        <f>'Évolution mensuelle'!C3</f>
        <v/>
      </c>
      <c r="D23" s="16" t="str">
        <f>'Évolution mensuelle'!D3</f>
        <v/>
      </c>
      <c r="E23" s="16" t="str">
        <f>'Évolution mensuelle'!E3</f>
        <v/>
      </c>
      <c r="F23" s="16" t="str">
        <f>'Évolution mensuelle'!F3</f>
        <v/>
      </c>
      <c r="G23" s="16" t="str">
        <f>'Évolution mensuelle'!G3</f>
        <v/>
      </c>
      <c r="I23" s="15" t="s">
        <v>26</v>
      </c>
      <c r="J23" s="16">
        <f>Consultations!D3</f>
        <v>14</v>
      </c>
      <c r="K23" s="16">
        <f>Hospitalisations!C7</f>
        <v>35</v>
      </c>
      <c r="L23" s="16">
        <f>'Maladies notifiables'!C14</f>
        <v>0</v>
      </c>
    </row>
    <row r="24" spans="1:12" x14ac:dyDescent="0.25">
      <c r="A24" s="15" t="s">
        <v>118</v>
      </c>
      <c r="B24" s="16" t="str">
        <f>'Évolution mensuelle'!B4</f>
        <v/>
      </c>
      <c r="C24" s="16" t="str">
        <f>'Évolution mensuelle'!C4</f>
        <v/>
      </c>
      <c r="D24" s="16" t="str">
        <f>'Évolution mensuelle'!D4</f>
        <v/>
      </c>
      <c r="E24" s="16" t="str">
        <f>'Évolution mensuelle'!E4</f>
        <v/>
      </c>
      <c r="F24" s="16" t="str">
        <f>'Évolution mensuelle'!F4</f>
        <v/>
      </c>
      <c r="G24" s="16" t="str">
        <f>'Évolution mensuelle'!G4</f>
        <v/>
      </c>
      <c r="I24" s="15" t="s">
        <v>27</v>
      </c>
      <c r="J24" s="16">
        <f>Consultations!D4</f>
        <v>7</v>
      </c>
      <c r="K24" s="16">
        <f>Hospitalisations!D7</f>
        <v>0</v>
      </c>
      <c r="L24" s="16">
        <f>'Maladies notifiables'!D14</f>
        <v>0</v>
      </c>
    </row>
    <row r="25" spans="1:12" x14ac:dyDescent="0.25">
      <c r="A25" s="15" t="s">
        <v>119</v>
      </c>
      <c r="B25" s="16" t="str">
        <f>'Évolution mensuelle'!B5</f>
        <v/>
      </c>
      <c r="C25" s="16" t="str">
        <f>'Évolution mensuelle'!C5</f>
        <v/>
      </c>
      <c r="D25" s="16" t="str">
        <f>'Évolution mensuelle'!D5</f>
        <v/>
      </c>
      <c r="E25" s="16" t="str">
        <f>'Évolution mensuelle'!E5</f>
        <v/>
      </c>
      <c r="F25" s="16" t="str">
        <f>'Évolution mensuelle'!F5</f>
        <v/>
      </c>
      <c r="G25" s="16" t="str">
        <f>'Évolution mensuelle'!G5</f>
        <v/>
      </c>
      <c r="I25" s="15" t="s">
        <v>28</v>
      </c>
      <c r="J25" s="16">
        <f>Consultations!D5</f>
        <v>4</v>
      </c>
      <c r="K25" s="16">
        <f>Hospitalisations!E7</f>
        <v>0</v>
      </c>
      <c r="L25" s="16">
        <f>'Maladies notifiables'!E14</f>
        <v>0</v>
      </c>
    </row>
    <row r="26" spans="1:12" x14ac:dyDescent="0.25">
      <c r="A26" s="15" t="s">
        <v>120</v>
      </c>
      <c r="B26" s="16" t="str">
        <f>'Évolution mensuelle'!B6</f>
        <v/>
      </c>
      <c r="C26" s="16" t="str">
        <f>'Évolution mensuelle'!C6</f>
        <v/>
      </c>
      <c r="D26" s="16" t="str">
        <f>'Évolution mensuelle'!D6</f>
        <v/>
      </c>
      <c r="E26" s="16" t="str">
        <f>'Évolution mensuelle'!E6</f>
        <v/>
      </c>
      <c r="F26" s="16" t="str">
        <f>'Évolution mensuelle'!F6</f>
        <v/>
      </c>
      <c r="G26" s="16" t="str">
        <f>'Évolution mensuelle'!G6</f>
        <v/>
      </c>
    </row>
    <row r="27" spans="1:12" x14ac:dyDescent="0.25">
      <c r="A27" s="15" t="s">
        <v>121</v>
      </c>
      <c r="B27" s="16" t="str">
        <f>'Évolution mensuelle'!B7</f>
        <v/>
      </c>
      <c r="C27" s="16" t="str">
        <f>'Évolution mensuelle'!C7</f>
        <v/>
      </c>
      <c r="D27" s="16" t="str">
        <f>'Évolution mensuelle'!D7</f>
        <v/>
      </c>
      <c r="E27" s="16" t="str">
        <f>'Évolution mensuelle'!E7</f>
        <v/>
      </c>
      <c r="F27" s="16" t="str">
        <f>'Évolution mensuelle'!F7</f>
        <v/>
      </c>
      <c r="G27" s="16" t="str">
        <f>'Évolution mensuelle'!G7</f>
        <v/>
      </c>
    </row>
    <row r="28" spans="1:12" x14ac:dyDescent="0.25">
      <c r="A28" s="15" t="s">
        <v>122</v>
      </c>
      <c r="B28" s="16" t="str">
        <f>'Évolution mensuelle'!B8</f>
        <v/>
      </c>
      <c r="C28" s="16" t="str">
        <f>'Évolution mensuelle'!C8</f>
        <v/>
      </c>
      <c r="D28" s="16" t="str">
        <f>'Évolution mensuelle'!D8</f>
        <v/>
      </c>
      <c r="E28" s="16" t="str">
        <f>'Évolution mensuelle'!E8</f>
        <v/>
      </c>
      <c r="F28" s="16" t="str">
        <f>'Évolution mensuelle'!F8</f>
        <v/>
      </c>
      <c r="G28" s="16" t="str">
        <f>'Évolution mensuelle'!G8</f>
        <v/>
      </c>
    </row>
    <row r="29" spans="1:12" x14ac:dyDescent="0.25">
      <c r="A29" s="15" t="s">
        <v>123</v>
      </c>
      <c r="B29" s="16" t="str">
        <f>'Évolution mensuelle'!B9</f>
        <v/>
      </c>
      <c r="C29" s="16" t="str">
        <f>'Évolution mensuelle'!C9</f>
        <v/>
      </c>
      <c r="D29" s="16" t="str">
        <f>'Évolution mensuelle'!D9</f>
        <v/>
      </c>
      <c r="E29" s="16" t="str">
        <f>'Évolution mensuelle'!E9</f>
        <v/>
      </c>
      <c r="F29" s="16" t="str">
        <f>'Évolution mensuelle'!F9</f>
        <v/>
      </c>
      <c r="G29" s="16" t="str">
        <f>'Évolution mensuelle'!G9</f>
        <v/>
      </c>
    </row>
    <row r="30" spans="1:12" x14ac:dyDescent="0.25">
      <c r="A30" s="15" t="s">
        <v>124</v>
      </c>
      <c r="B30" s="16" t="str">
        <f>'Évolution mensuelle'!B10</f>
        <v/>
      </c>
      <c r="C30" s="16" t="str">
        <f>'Évolution mensuelle'!C10</f>
        <v/>
      </c>
      <c r="D30" s="16" t="str">
        <f>'Évolution mensuelle'!D10</f>
        <v/>
      </c>
      <c r="E30" s="16" t="str">
        <f>'Évolution mensuelle'!E10</f>
        <v/>
      </c>
      <c r="F30" s="16" t="str">
        <f>'Évolution mensuelle'!F10</f>
        <v/>
      </c>
      <c r="G30" s="16" t="str">
        <f>'Évolution mensuelle'!G10</f>
        <v/>
      </c>
    </row>
    <row r="31" spans="1:12" x14ac:dyDescent="0.25">
      <c r="A31" s="15" t="s">
        <v>125</v>
      </c>
      <c r="B31" s="16" t="str">
        <f>'Évolution mensuelle'!B11</f>
        <v/>
      </c>
      <c r="C31" s="16" t="str">
        <f>'Évolution mensuelle'!C11</f>
        <v/>
      </c>
      <c r="D31" s="16" t="str">
        <f>'Évolution mensuelle'!D11</f>
        <v/>
      </c>
      <c r="E31" s="16" t="str">
        <f>'Évolution mensuelle'!E11</f>
        <v/>
      </c>
      <c r="F31" s="16" t="str">
        <f>'Évolution mensuelle'!F11</f>
        <v/>
      </c>
      <c r="G31" s="16" t="str">
        <f>'Évolution mensuelle'!G11</f>
        <v/>
      </c>
    </row>
    <row r="32" spans="1:12" x14ac:dyDescent="0.25">
      <c r="A32" s="15" t="s">
        <v>126</v>
      </c>
      <c r="B32" s="16" t="str">
        <f>'Évolution mensuelle'!B12</f>
        <v/>
      </c>
      <c r="C32" s="16" t="str">
        <f>'Évolution mensuelle'!C12</f>
        <v/>
      </c>
      <c r="D32" s="16" t="str">
        <f>'Évolution mensuelle'!D12</f>
        <v/>
      </c>
      <c r="E32" s="16" t="str">
        <f>'Évolution mensuelle'!E12</f>
        <v/>
      </c>
      <c r="F32" s="16" t="str">
        <f>'Évolution mensuelle'!F12</f>
        <v/>
      </c>
      <c r="G32" s="16" t="str">
        <f>'Évolution mensuelle'!G12</f>
        <v/>
      </c>
    </row>
    <row r="33" spans="1:7" x14ac:dyDescent="0.25">
      <c r="A33" s="15" t="s">
        <v>127</v>
      </c>
      <c r="B33" s="16" t="str">
        <f>'Évolution mensuelle'!B13</f>
        <v/>
      </c>
      <c r="C33" s="16" t="str">
        <f>'Évolution mensuelle'!C13</f>
        <v/>
      </c>
      <c r="D33" s="16" t="str">
        <f>'Évolution mensuelle'!D13</f>
        <v/>
      </c>
      <c r="E33" s="16" t="str">
        <f>'Évolution mensuelle'!E13</f>
        <v/>
      </c>
      <c r="F33" s="16" t="str">
        <f>'Évolution mensuelle'!F13</f>
        <v/>
      </c>
      <c r="G33" s="16" t="str">
        <f>'Évolution mensuelle'!G13</f>
        <v/>
      </c>
    </row>
  </sheetData>
  <mergeCells count="12">
    <mergeCell ref="U3:V3"/>
    <mergeCell ref="X3:Y3"/>
    <mergeCell ref="A20:G20"/>
    <mergeCell ref="I20:L20"/>
    <mergeCell ref="A1:T1"/>
    <mergeCell ref="A2:T2"/>
    <mergeCell ref="A3:B3"/>
    <mergeCell ref="E3:G3"/>
    <mergeCell ref="I3:J3"/>
    <mergeCell ref="L3:M3"/>
    <mergeCell ref="O3:P3"/>
    <mergeCell ref="R3:S3"/>
  </mergeCells>
  <hyperlinks>
    <hyperlink ref="V1" location="#'Sommaire'!A1" tooltip="Revenir au sommaire" display="Retour au sommaire" xr:uid="{00000000-0004-0000-0D00-000000000000}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L21"/>
  <sheetViews>
    <sheetView showGridLines="0" tabSelected="1" topLeftCell="A15" zoomScale="69" workbookViewId="0">
      <selection activeCell="N23" sqref="N23"/>
    </sheetView>
  </sheetViews>
  <sheetFormatPr baseColWidth="10" defaultColWidth="9.140625" defaultRowHeight="15" x14ac:dyDescent="0.25"/>
  <cols>
    <col min="1" max="10" width="16" customWidth="1"/>
  </cols>
  <sheetData>
    <row r="1" spans="1:12" x14ac:dyDescent="0.25">
      <c r="A1" s="26" t="s">
        <v>156</v>
      </c>
      <c r="B1" s="26"/>
      <c r="C1" s="26"/>
      <c r="D1" s="26"/>
      <c r="E1" s="26"/>
      <c r="F1" s="26"/>
      <c r="G1" s="26"/>
      <c r="H1" s="26"/>
      <c r="I1" s="26"/>
      <c r="J1" s="26"/>
      <c r="L1" s="12" t="s">
        <v>23</v>
      </c>
    </row>
    <row r="2" spans="1:12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2" x14ac:dyDescent="0.25">
      <c r="A3" s="27" t="s">
        <v>157</v>
      </c>
      <c r="B3" s="27"/>
      <c r="C3" s="27"/>
      <c r="D3" s="27"/>
      <c r="E3" s="27"/>
      <c r="F3" s="27"/>
      <c r="G3" s="27"/>
      <c r="H3" s="27"/>
      <c r="I3" s="27"/>
      <c r="J3" s="27"/>
    </row>
    <row r="5" spans="1:12" x14ac:dyDescent="0.25">
      <c r="A5" s="28" t="s">
        <v>4</v>
      </c>
      <c r="B5" s="28"/>
      <c r="C5" s="28"/>
      <c r="D5" s="29" t="s">
        <v>6</v>
      </c>
      <c r="E5" s="29"/>
      <c r="F5" s="29"/>
      <c r="G5" s="30" t="s">
        <v>91</v>
      </c>
      <c r="H5" s="30"/>
      <c r="I5" s="30"/>
    </row>
    <row r="6" spans="1:12" x14ac:dyDescent="0.25">
      <c r="A6" s="22">
        <f>'Tableaux de synthèse'!B5</f>
        <v>41</v>
      </c>
      <c r="B6" s="22"/>
      <c r="C6" s="22"/>
      <c r="D6" s="22">
        <f>'Tableaux de synthèse'!B6</f>
        <v>47</v>
      </c>
      <c r="E6" s="22"/>
      <c r="F6" s="22"/>
      <c r="G6" s="22">
        <f>'Tableaux de synthèse'!B7</f>
        <v>0</v>
      </c>
      <c r="H6" s="22"/>
      <c r="I6" s="22"/>
    </row>
    <row r="7" spans="1:12" x14ac:dyDescent="0.25">
      <c r="A7" s="22"/>
      <c r="B7" s="22"/>
      <c r="C7" s="22"/>
      <c r="D7" s="22"/>
      <c r="E7" s="22"/>
      <c r="F7" s="22"/>
      <c r="G7" s="22"/>
      <c r="H7" s="22"/>
      <c r="I7" s="22"/>
    </row>
    <row r="9" spans="1:12" x14ac:dyDescent="0.25">
      <c r="A9" s="23" t="s">
        <v>14</v>
      </c>
      <c r="B9" s="23"/>
      <c r="C9" s="23"/>
      <c r="D9" s="24" t="s">
        <v>146</v>
      </c>
      <c r="E9" s="24"/>
      <c r="F9" s="24"/>
      <c r="G9" s="25" t="s">
        <v>115</v>
      </c>
      <c r="H9" s="25"/>
      <c r="I9" s="25"/>
    </row>
    <row r="10" spans="1:12" x14ac:dyDescent="0.25">
      <c r="A10" s="22">
        <f>'Tableaux de synthèse'!B12</f>
        <v>0</v>
      </c>
      <c r="B10" s="22"/>
      <c r="C10" s="22"/>
      <c r="D10" s="22">
        <f>'Tableaux de synthèse'!B8</f>
        <v>0</v>
      </c>
      <c r="E10" s="22"/>
      <c r="F10" s="22"/>
      <c r="G10" s="22">
        <f>'Tableaux de synthèse'!B11</f>
        <v>0</v>
      </c>
      <c r="H10" s="22"/>
      <c r="I10" s="22"/>
    </row>
    <row r="11" spans="1:12" x14ac:dyDescent="0.25">
      <c r="A11" s="22"/>
      <c r="B11" s="22"/>
      <c r="C11" s="22"/>
      <c r="D11" s="22"/>
      <c r="E11" s="22"/>
      <c r="F11" s="22"/>
      <c r="G11" s="22"/>
      <c r="H11" s="22"/>
      <c r="I11" s="22"/>
    </row>
    <row r="13" spans="1:12" ht="15.75" x14ac:dyDescent="0.25">
      <c r="A13" s="17" t="s">
        <v>1</v>
      </c>
    </row>
    <row r="14" spans="1:12" x14ac:dyDescent="0.25">
      <c r="A14" t="s">
        <v>17</v>
      </c>
      <c r="B14" s="3" t="s">
        <v>158</v>
      </c>
    </row>
    <row r="15" spans="1:12" x14ac:dyDescent="0.25">
      <c r="A15" t="s">
        <v>132</v>
      </c>
      <c r="B15" s="3" t="s">
        <v>159</v>
      </c>
    </row>
    <row r="16" spans="1:12" x14ac:dyDescent="0.25">
      <c r="A16" t="s">
        <v>133</v>
      </c>
      <c r="B16" s="3" t="s">
        <v>160</v>
      </c>
    </row>
    <row r="17" spans="1:2" x14ac:dyDescent="0.25">
      <c r="A17" t="s">
        <v>161</v>
      </c>
      <c r="B17" s="3" t="s">
        <v>162</v>
      </c>
    </row>
    <row r="18" spans="1:2" x14ac:dyDescent="0.25">
      <c r="A18" t="s">
        <v>14</v>
      </c>
      <c r="B18" s="3" t="s">
        <v>163</v>
      </c>
    </row>
    <row r="19" spans="1:2" x14ac:dyDescent="0.25">
      <c r="A19" t="s">
        <v>12</v>
      </c>
      <c r="B19" s="3" t="s">
        <v>164</v>
      </c>
    </row>
    <row r="20" spans="1:2" x14ac:dyDescent="0.25">
      <c r="A20" t="s">
        <v>11</v>
      </c>
      <c r="B20" s="3" t="s">
        <v>165</v>
      </c>
    </row>
    <row r="21" spans="1:2" x14ac:dyDescent="0.25">
      <c r="A21" t="s">
        <v>16</v>
      </c>
      <c r="B21" s="3" t="s">
        <v>166</v>
      </c>
    </row>
  </sheetData>
  <mergeCells count="14">
    <mergeCell ref="A1:J2"/>
    <mergeCell ref="A3:J3"/>
    <mergeCell ref="A5:C5"/>
    <mergeCell ref="D5:F5"/>
    <mergeCell ref="G5:I5"/>
    <mergeCell ref="A10:C11"/>
    <mergeCell ref="D10:F11"/>
    <mergeCell ref="G10:I11"/>
    <mergeCell ref="A6:C7"/>
    <mergeCell ref="D6:F7"/>
    <mergeCell ref="G6:I7"/>
    <mergeCell ref="A9:C9"/>
    <mergeCell ref="D9:F9"/>
    <mergeCell ref="G9:I9"/>
  </mergeCells>
  <hyperlinks>
    <hyperlink ref="L1" location="#'Sommaire'!A1" tooltip="Revenir au sommaire" display="Retour au sommaire" xr:uid="{00000000-0004-0000-0E00-000000000000}"/>
    <hyperlink ref="B14" location="#'Tableaux de synthèse'!A1" tooltip="Aller vers Tableaux de synthèse" display="Ouvrir Tableaux de synthèse" xr:uid="{00000000-0004-0000-0E00-000001000000}"/>
    <hyperlink ref="B15" location="#'Consultations'!A1" tooltip="Aller vers Consultations" display="Ouvrir Consultations" xr:uid="{00000000-0004-0000-0E00-000002000000}"/>
    <hyperlink ref="B16" location="#'Hospitalisations'!A1" tooltip="Aller vers Hospitalisations" display="Ouvrir Hospitalisations" xr:uid="{00000000-0004-0000-0E00-000003000000}"/>
    <hyperlink ref="B17" location="#'Morbidité &amp; mortalité'!A1" tooltip="Aller vers Morbidité &amp; mortalité" display="Ouvrir Morbidité &amp; mortalité" xr:uid="{00000000-0004-0000-0E00-000004000000}"/>
    <hyperlink ref="B18" location="#'Ressources humaines'!A1" tooltip="Aller vers Ressources humaines" display="Ouvrir Ressources humaines" xr:uid="{00000000-0004-0000-0E00-000005000000}"/>
    <hyperlink ref="B19" location="#'Maladies notifiables'!A1" tooltip="Aller vers Maladies notifiables" display="Ouvrir Maladies notifiables" xr:uid="{00000000-0004-0000-0E00-000006000000}"/>
    <hyperlink ref="B20" location="#'Programmes de santé'!A1" tooltip="Aller vers Programmes de santé" display="Ouvrir Programmes de santé" xr:uid="{00000000-0004-0000-0E00-000007000000}"/>
    <hyperlink ref="B21" location="#'Évolution mensuelle'!A1" tooltip="Aller vers Évolution mensuelle" display="Ouvrir Évolution mensuelle" xr:uid="{00000000-0004-0000-0E00-000008000000}"/>
  </hyperlink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Sommaire</vt:lpstr>
      <vt:lpstr>Consultations</vt:lpstr>
      <vt:lpstr>Hospitalisations</vt:lpstr>
      <vt:lpstr>Bloc opératoire</vt:lpstr>
      <vt:lpstr>Services spécialisés</vt:lpstr>
      <vt:lpstr>Imagerie médicale</vt:lpstr>
      <vt:lpstr>Laboratoire</vt:lpstr>
      <vt:lpstr>Programmes de santé</vt:lpstr>
      <vt:lpstr>Maladies notifiables</vt:lpstr>
      <vt:lpstr>Morbidité &amp; mortalité</vt:lpstr>
      <vt:lpstr>Ressources humaines</vt:lpstr>
      <vt:lpstr>Activités sociales</vt:lpstr>
      <vt:lpstr>Évolution mensuelle</vt:lpstr>
      <vt:lpstr>Tableaux de synthèse</vt:lpstr>
      <vt:lpstr>Dashboard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2026-03-27T05:19:03Z</dcterms:created>
  <dcterms:modified xsi:type="dcterms:W3CDTF">2026-03-28T06:04:39Z</dcterms:modified>
  <cp:category/>
</cp:coreProperties>
</file>